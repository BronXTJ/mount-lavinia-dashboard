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unt-lavinia-dashboard\json_files\No1_study_boundary_related_analysis\"/>
    </mc:Choice>
  </mc:AlternateContent>
  <xr:revisionPtr revIDLastSave="0" documentId="13_ncr:1_{56435021-1D9F-4FE8-8810-4DA2C04BFBA9}" xr6:coauthVersionLast="47" xr6:coauthVersionMax="47" xr10:uidLastSave="{00000000-0000-0000-0000-000000000000}"/>
  <bookViews>
    <workbookView xWindow="-108" yWindow="-108" windowWidth="23256" windowHeight="12456" activeTab="5" xr2:uid="{FD807466-D24A-412C-8E13-4984A0D18221}"/>
  </bookViews>
  <sheets>
    <sheet name="Population " sheetId="1" r:id="rId1"/>
    <sheet name="Housing " sheetId="3" r:id="rId2"/>
    <sheet name="KPI" sheetId="4" r:id="rId3"/>
    <sheet name="land use" sheetId="5" r:id="rId4"/>
    <sheet name="Property " sheetId="2" r:id="rId5"/>
    <sheet name="Roadwis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D29" i="1"/>
  <c r="D19" i="1"/>
  <c r="D24" i="1"/>
  <c r="C9" i="3"/>
  <c r="H10" i="1"/>
  <c r="I10" i="1"/>
  <c r="J10" i="1"/>
  <c r="K10" i="1"/>
  <c r="F10" i="1"/>
  <c r="E10" i="1"/>
  <c r="G10" i="1"/>
  <c r="D10" i="1"/>
</calcChain>
</file>

<file path=xl/sharedStrings.xml><?xml version="1.0" encoding="utf-8"?>
<sst xmlns="http://schemas.openxmlformats.org/spreadsheetml/2006/main" count="312" uniqueCount="245">
  <si>
    <t>Mount Lavinia</t>
  </si>
  <si>
    <t>Kawdana West</t>
  </si>
  <si>
    <t>Watarappala</t>
  </si>
  <si>
    <t>Wathumulla</t>
  </si>
  <si>
    <t>Wedikanda</t>
  </si>
  <si>
    <t xml:space="preserve">GN_Division code </t>
  </si>
  <si>
    <t>GN_Division_Name</t>
  </si>
  <si>
    <t>GN_Division_Number</t>
  </si>
  <si>
    <t>539/42C</t>
  </si>
  <si>
    <t>5444A</t>
  </si>
  <si>
    <t>546A</t>
  </si>
  <si>
    <t>Total</t>
  </si>
  <si>
    <t>Male</t>
  </si>
  <si>
    <t>Female</t>
  </si>
  <si>
    <t>0-14</t>
  </si>
  <si>
    <t>15-59</t>
  </si>
  <si>
    <t>60-64</t>
  </si>
  <si>
    <t xml:space="preserve">65 above </t>
  </si>
  <si>
    <t>Total2</t>
  </si>
  <si>
    <t xml:space="preserve">Age </t>
  </si>
  <si>
    <t>Sex</t>
  </si>
  <si>
    <t>Mount Lavinia Population ( Censes of Population and Housing- 2024)</t>
  </si>
  <si>
    <t>Roads Processed</t>
  </si>
  <si>
    <t>Highest Residential Road</t>
  </si>
  <si>
    <t>Highest Bare Land Road</t>
  </si>
  <si>
    <t>Total Properties</t>
  </si>
  <si>
    <t>HENA RD. 1ST LANE RIGHT</t>
  </si>
  <si>
    <t>DE SOYSA Avenue (LHS)</t>
  </si>
  <si>
    <t>Average Residential %</t>
  </si>
  <si>
    <t>Average Commercial %</t>
  </si>
  <si>
    <t>Highest Commercial Road</t>
  </si>
  <si>
    <t>Average Bare Land %</t>
  </si>
  <si>
    <t>Rank</t>
  </si>
  <si>
    <t>Road Name</t>
  </si>
  <si>
    <t>Residential Properties</t>
  </si>
  <si>
    <t>Residential %</t>
  </si>
  <si>
    <t xml:space="preserve">Total </t>
  </si>
  <si>
    <t xml:space="preserve"> Mount Lavinia House Occupancy </t>
  </si>
  <si>
    <t>Year</t>
  </si>
  <si>
    <t>GN_Divition_Name</t>
  </si>
  <si>
    <t xml:space="preserve">Population </t>
  </si>
  <si>
    <t>2001 /2012/2024  Population</t>
  </si>
  <si>
    <t xml:space="preserve">indicater </t>
  </si>
  <si>
    <t xml:space="preserve">housing density </t>
  </si>
  <si>
    <t xml:space="preserve">total population </t>
  </si>
  <si>
    <t xml:space="preserve">total housing occupancy </t>
  </si>
  <si>
    <t>number of GN divisions</t>
  </si>
  <si>
    <t xml:space="preserve">total land area </t>
  </si>
  <si>
    <t xml:space="preserve">built-up area </t>
  </si>
  <si>
    <t>2210 per m²</t>
  </si>
  <si>
    <t>KPI Cards</t>
  </si>
  <si>
    <t>Land Use</t>
  </si>
  <si>
    <t>Residential</t>
  </si>
  <si>
    <t>Transport</t>
  </si>
  <si>
    <t>Commercial</t>
  </si>
  <si>
    <t>Institutional</t>
  </si>
  <si>
    <t>Industrial</t>
  </si>
  <si>
    <t>Cultural</t>
  </si>
  <si>
    <t>Coastal Area</t>
  </si>
  <si>
    <t>Under Construction</t>
  </si>
  <si>
    <t>Agriculture</t>
  </si>
  <si>
    <t xml:space="preserve"> </t>
  </si>
  <si>
    <t>Top 10 Commercial Roads</t>
  </si>
  <si>
    <t>Commercial Properties</t>
  </si>
  <si>
    <t>Commercial %</t>
  </si>
  <si>
    <t>HOTEL ROAD LEFT</t>
  </si>
  <si>
    <t>HOTEL ROAD RIGHT</t>
  </si>
  <si>
    <t>Top 10 Bare Land Roads</t>
  </si>
  <si>
    <t>TEMPLERS RD 1ST CROSS LANE RT</t>
  </si>
  <si>
    <t>TEMPLERS MW RIGHT</t>
  </si>
  <si>
    <t>Highest Residential %</t>
  </si>
  <si>
    <t>Highest Commercial %</t>
  </si>
  <si>
    <t>Highest Bare Land %</t>
  </si>
  <si>
    <t>Top 10 Residential Roads</t>
  </si>
  <si>
    <t>TEMPLERS RD 2ND LANE RIGHT</t>
  </si>
  <si>
    <t>VISHAKA ROAD LEFT</t>
  </si>
  <si>
    <t>VISHAKA ROAD RIGHT</t>
  </si>
  <si>
    <t>SAMUDRA MAWATHA RIGHT</t>
  </si>
  <si>
    <t>MENERIGAMA PLACE RIGHT</t>
  </si>
  <si>
    <t>Liliyan Mawatha (RHS)</t>
  </si>
  <si>
    <t>SRI GUNARATHANA MW. RIGHT</t>
  </si>
  <si>
    <t>FERNANDO RD. LEFT</t>
  </si>
  <si>
    <t>WIJAYA ROAD RIGHT</t>
  </si>
  <si>
    <t>D.J.WIJESIRIWARDHANA MW.LEFT</t>
  </si>
  <si>
    <t>OLD QUARRY ROAD LEFT</t>
  </si>
  <si>
    <t>DAKSHINARAMA RD LEFT</t>
  </si>
  <si>
    <t>DE SOYSA Avenue (RHS)</t>
  </si>
  <si>
    <t>BEACH ROAD LEFT</t>
  </si>
  <si>
    <t>TEMPLERS PLACE LEFT</t>
  </si>
  <si>
    <t>Liliyan Mawatha (LHS)</t>
  </si>
  <si>
    <t>Bare Land Properties</t>
  </si>
  <si>
    <t>Bare Land %</t>
  </si>
  <si>
    <t>HENA RD LEFT</t>
  </si>
  <si>
    <t>TEMPLERS PLACE. RIGHT</t>
  </si>
  <si>
    <t>DE ALWIS RD LEFT</t>
  </si>
  <si>
    <t>WATARAPPOLA RD</t>
  </si>
  <si>
    <t>HENA RD. 1ST LANE LEFT</t>
  </si>
  <si>
    <t>WEDIKANDA RD. LEFT</t>
  </si>
  <si>
    <t>APONSU MAWATHA LEFT</t>
  </si>
  <si>
    <t xml:space="preserve">value </t>
  </si>
  <si>
    <t xml:space="preserve">Each Year Total Population </t>
  </si>
  <si>
    <t>Area</t>
  </si>
  <si>
    <t>Population Density (2024)</t>
  </si>
  <si>
    <t xml:space="preserve">population density </t>
  </si>
  <si>
    <t>10030 per km2</t>
  </si>
  <si>
    <t>MOUNT LAVINIA PROPERTY REGISTRY ANALYSIS of main roads in the road network</t>
  </si>
  <si>
    <t>Road_Name</t>
  </si>
  <si>
    <t>Residential_Count</t>
  </si>
  <si>
    <t>Residential_%</t>
  </si>
  <si>
    <t>Commercial_Count</t>
  </si>
  <si>
    <t>Commercial_%</t>
  </si>
  <si>
    <t>BareLand_Count</t>
  </si>
  <si>
    <t>BareLand_%</t>
  </si>
  <si>
    <t>Government_Count</t>
  </si>
  <si>
    <t>Government_%</t>
  </si>
  <si>
    <t>Religious_Count</t>
  </si>
  <si>
    <t>Religious_%</t>
  </si>
  <si>
    <t>Technical_Count</t>
  </si>
  <si>
    <t>Technical_%</t>
  </si>
  <si>
    <t>Lessee_Count</t>
  </si>
  <si>
    <t>Lessee_%</t>
  </si>
  <si>
    <t>Others_Count</t>
  </si>
  <si>
    <t>Others_%</t>
  </si>
  <si>
    <t>Undefined_Count</t>
  </si>
  <si>
    <t>Undefined_%</t>
  </si>
  <si>
    <t>Unknown_Count</t>
  </si>
  <si>
    <t>Unknown_%</t>
  </si>
  <si>
    <t>Total_Properties</t>
  </si>
  <si>
    <t>Latitude</t>
  </si>
  <si>
    <t>Longitude</t>
  </si>
  <si>
    <t>2ND LANE LEFT</t>
  </si>
  <si>
    <t>2ND LANE RIGHT</t>
  </si>
  <si>
    <t>ALBERT PLACE LEFT</t>
  </si>
  <si>
    <t>ALBERT PLACE RIGHT</t>
  </si>
  <si>
    <t>APONSU MAWATHA RIGHT</t>
  </si>
  <si>
    <t>ATAPATTU LANE LHS</t>
  </si>
  <si>
    <t>ATAPATTU LANE RHS</t>
  </si>
  <si>
    <t>ATAPATTU PLACE RIGHT</t>
  </si>
  <si>
    <t>ATAPATTU RD LEFT</t>
  </si>
  <si>
    <t>ATAPATTU RD RIGHT</t>
  </si>
  <si>
    <t>BEACH ROAD RIGHT</t>
  </si>
  <si>
    <t>CAMPBELL PLACE LEFT</t>
  </si>
  <si>
    <t>CAMPBELL PLACE RIGHT</t>
  </si>
  <si>
    <t>D.J.WIJESIRIWARDHANA MW.RIGHT</t>
  </si>
  <si>
    <t>DAKSHINARAMA RD RIGHT</t>
  </si>
  <si>
    <t>DE ALWIS RD RIGHT</t>
  </si>
  <si>
    <t>EBENEEZER PLACE LEFT</t>
  </si>
  <si>
    <t>EBENEEZER PLACE RIGHT</t>
  </si>
  <si>
    <t>EDIRIWEERA AVENUE RIGHT</t>
  </si>
  <si>
    <t>FAIRLINE RD RIGHT</t>
  </si>
  <si>
    <t>FERNANDO RD. RIGHT</t>
  </si>
  <si>
    <t>FRAIZER AVENUE LEFT</t>
  </si>
  <si>
    <t>FRAZER AVENUE RHS</t>
  </si>
  <si>
    <t>HENA RD 2ND LANE</t>
  </si>
  <si>
    <t>HENA RD. LEFT</t>
  </si>
  <si>
    <t>HENA RD. RIGHT</t>
  </si>
  <si>
    <t>HILDA LANE LEFT</t>
  </si>
  <si>
    <t>HILDA LANE RIGHT</t>
  </si>
  <si>
    <t>INITIUM ROAD LEFT</t>
  </si>
  <si>
    <t>INITIUM ROAD RIGHT</t>
  </si>
  <si>
    <t>LIYANAGE ROAD RIGHT</t>
  </si>
  <si>
    <t>Mahindarama Road LHS</t>
  </si>
  <si>
    <t>MELFORD CRESCENT LEFT</t>
  </si>
  <si>
    <t>MELFORD CRESCENT RIGHT</t>
  </si>
  <si>
    <t>MENERIGAMA PLACE LEFT</t>
  </si>
  <si>
    <t>MOUNT AVE.</t>
  </si>
  <si>
    <t>MUHANDIRAM LANE LEFT</t>
  </si>
  <si>
    <t>MUHANDIRAM LANE RIGHT</t>
  </si>
  <si>
    <t>OLD QUARRY ROAD RIGHT</t>
  </si>
  <si>
    <t>PALLIDORA RD LEFT</t>
  </si>
  <si>
    <t>PALLIDORA RD RIGHT</t>
  </si>
  <si>
    <t>PARK RD. 1ST LANE Left</t>
  </si>
  <si>
    <t>PARK RD. 1ST LANE RIGHT</t>
  </si>
  <si>
    <t>PARK RD. 2ND LANE Left</t>
  </si>
  <si>
    <t>PARK RD. 2ND LANE RIGHT</t>
  </si>
  <si>
    <t>PARK RD. LEFT</t>
  </si>
  <si>
    <t>PARK RD. RIGHT</t>
  </si>
  <si>
    <t>PEIRIS ROAD LEFT</t>
  </si>
  <si>
    <t>PEIRIS ROAD RIGHT</t>
  </si>
  <si>
    <t>PERERA LANE LEFT</t>
  </si>
  <si>
    <t>PERERA LANE RIGHT</t>
  </si>
  <si>
    <t>PETERS LANE LEFT</t>
  </si>
  <si>
    <t>PETERS LANE RIGHT</t>
  </si>
  <si>
    <t>PIRIVENA RD 1ST LANE LEFT</t>
  </si>
  <si>
    <t>PIRIVENA RD 1ST LANE Right</t>
  </si>
  <si>
    <t>PIRIVENA RD. LEFT</t>
  </si>
  <si>
    <t>PIRIVENA RD. RIGHT</t>
  </si>
  <si>
    <t>POKUNA RD. RIGHT</t>
  </si>
  <si>
    <t>RAMANATHAN MAWATHA LEFT</t>
  </si>
  <si>
    <t>RAMANATHAN MW RIGHT</t>
  </si>
  <si>
    <t>RATHNAKARA PLACE LEFT</t>
  </si>
  <si>
    <t>RATHNAKARA PLACE RIGHT</t>
  </si>
  <si>
    <t>RODRIGO LANE LEFT</t>
  </si>
  <si>
    <t>RODRIGO LANE RIGHT</t>
  </si>
  <si>
    <t>SAMUDRA MAWATHA LEFT</t>
  </si>
  <si>
    <t>SAMUDRASANNA ROAD</t>
  </si>
  <si>
    <t>SCHOOL AVENUE LEFT</t>
  </si>
  <si>
    <t>SCHOOL AVENUE RIGHT</t>
  </si>
  <si>
    <t>SENANAYAKA PLACE LEFT</t>
  </si>
  <si>
    <t>SENANAYAKA PLACE RIGHT</t>
  </si>
  <si>
    <t>SIRIPALA ROAD RIGHT</t>
  </si>
  <si>
    <t>SRI DHARMAPALA ROAD LEFT</t>
  </si>
  <si>
    <t>SRI DHARMAPALA ROAD RIGHT</t>
  </si>
  <si>
    <t>SRI GUNARATHNA MW.LEFT</t>
  </si>
  <si>
    <t>SRI MAHA BODHI RD LEFT</t>
  </si>
  <si>
    <t>SRI MAHA BODHI RD RIGHT</t>
  </si>
  <si>
    <t>ST. MARY S RD. RIGHT</t>
  </si>
  <si>
    <t>ST. MARY S RD</t>
  </si>
  <si>
    <t>ST. RITA S RD. RIGHT</t>
  </si>
  <si>
    <t>ST. RITA S RD</t>
  </si>
  <si>
    <t>STATION ROAD LEFT</t>
  </si>
  <si>
    <t>STATION ROAD RIGHT</t>
  </si>
  <si>
    <t>SUMANARAMA RD LEFT</t>
  </si>
  <si>
    <t>SUMANARAMA RD RIGHT</t>
  </si>
  <si>
    <t>SUMANARAMA ROAD LEFT</t>
  </si>
  <si>
    <t>SUMANARAMA ROAD RIGHT</t>
  </si>
  <si>
    <t>TEMPLERS MW LEFT</t>
  </si>
  <si>
    <t>TEMPLERS RD LEFT</t>
  </si>
  <si>
    <t>TEMPLERS RD Left</t>
  </si>
  <si>
    <t>TEMPLERS RD. LEFT</t>
  </si>
  <si>
    <t>TEMPLERS RD. RIGHT</t>
  </si>
  <si>
    <t>TEMPLERS RD.RIGHT</t>
  </si>
  <si>
    <t>TEMPLERS ROAD 1ST LANE (RHS)</t>
  </si>
  <si>
    <t>VANDERVART PLACE LEFT</t>
  </si>
  <si>
    <t>VANDERVART PLACE RIGHT</t>
  </si>
  <si>
    <t>WAIDYA LANE LEFT</t>
  </si>
  <si>
    <t>WAIDYA LANE RIGHT</t>
  </si>
  <si>
    <t>WAIDYA PLACE LEFT</t>
  </si>
  <si>
    <t>WAIDYA PLACE RIGHT</t>
  </si>
  <si>
    <t>WAIDYA RD 1ST LANE (LHS)</t>
  </si>
  <si>
    <t>WAIDYA RD 1ST LANE (RHS)</t>
  </si>
  <si>
    <t>WAIDYA RD LEFT</t>
  </si>
  <si>
    <t>WAIDYA RD RIGHT</t>
  </si>
  <si>
    <t>Wasala Road Left</t>
  </si>
  <si>
    <t>Wasla Road Right</t>
  </si>
  <si>
    <t>WATARAPPOLA ROAD LEFT</t>
  </si>
  <si>
    <t>WATARAPPOLA ROAD RIGHT</t>
  </si>
  <si>
    <t>WEDIKANDA RD. RIGHT</t>
  </si>
  <si>
    <t>WIJAYA ROAD LEFT</t>
  </si>
  <si>
    <t>Public Space</t>
  </si>
  <si>
    <t>Barren Land</t>
  </si>
  <si>
    <t>Water</t>
  </si>
  <si>
    <t>Percentage %</t>
  </si>
  <si>
    <t xml:space="preserve">Housing Units </t>
  </si>
  <si>
    <t>GN_Division_Code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</si>
</sst>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ADCF8"/>
      </patternFill>
    </fill>
    <fill>
      <patternFill patternType="solid">
        <fgColor rgb="FFD9E2F3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CE5CD"/>
      </patternFill>
    </fill>
    <fill>
      <patternFill patternType="solid">
        <fgColor rgb="FFE4DFEC"/>
      </patternFill>
    </fill>
    <fill>
      <patternFill patternType="solid">
        <fgColor rgb="FFFFD966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11" borderId="0" applyNumberFormat="0" applyBorder="0" applyAlignment="0" applyProtection="0"/>
  </cellStyleXfs>
  <cellXfs count="91">
    <xf numFmtId="0" fontId="0" fillId="0" borderId="0" xfId="0"/>
    <xf numFmtId="164" fontId="4" fillId="2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0" fillId="0" borderId="1" xfId="0" applyBorder="1" applyAlignment="1">
      <alignment horizontal="right"/>
    </xf>
    <xf numFmtId="164" fontId="4" fillId="2" borderId="2" xfId="0" applyNumberFormat="1" applyFont="1" applyFill="1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3" fillId="7" borderId="0" xfId="0" applyFont="1" applyFill="1" applyAlignment="1">
      <alignment horizontal="center"/>
    </xf>
    <xf numFmtId="0" fontId="5" fillId="3" borderId="1" xfId="1" applyNumberFormat="1" applyFont="1" applyFill="1" applyBorder="1"/>
    <xf numFmtId="0" fontId="5" fillId="3" borderId="2" xfId="1" applyNumberFormat="1" applyFont="1" applyFill="1" applyBorder="1"/>
    <xf numFmtId="0" fontId="4" fillId="3" borderId="1" xfId="1" applyNumberFormat="1" applyFont="1" applyFill="1" applyBorder="1"/>
    <xf numFmtId="0" fontId="4" fillId="3" borderId="2" xfId="1" applyNumberFormat="1" applyFont="1" applyFill="1" applyBorder="1"/>
    <xf numFmtId="0" fontId="3" fillId="8" borderId="0" xfId="0" applyFont="1" applyFill="1" applyAlignment="1">
      <alignment horizontal="center"/>
    </xf>
    <xf numFmtId="0" fontId="5" fillId="4" borderId="1" xfId="1" applyNumberFormat="1" applyFont="1" applyFill="1" applyBorder="1"/>
    <xf numFmtId="0" fontId="5" fillId="4" borderId="2" xfId="1" applyNumberFormat="1" applyFont="1" applyFill="1" applyBorder="1"/>
    <xf numFmtId="0" fontId="4" fillId="4" borderId="1" xfId="1" applyNumberFormat="1" applyFont="1" applyFill="1" applyBorder="1"/>
    <xf numFmtId="0" fontId="4" fillId="4" borderId="2" xfId="1" applyNumberFormat="1" applyFont="1" applyFill="1" applyBorder="1"/>
    <xf numFmtId="0" fontId="4" fillId="9" borderId="2" xfId="0" applyFont="1" applyFill="1" applyBorder="1"/>
    <xf numFmtId="0" fontId="4" fillId="4" borderId="1" xfId="0" applyFont="1" applyFill="1" applyBorder="1" applyAlignment="1">
      <alignment horizontal="right"/>
    </xf>
    <xf numFmtId="0" fontId="2" fillId="5" borderId="3" xfId="0" applyFont="1" applyFill="1" applyBorder="1"/>
    <xf numFmtId="0" fontId="4" fillId="4" borderId="2" xfId="0" applyFont="1" applyFill="1" applyBorder="1" applyAlignment="1">
      <alignment horizontal="right"/>
    </xf>
    <xf numFmtId="0" fontId="5" fillId="3" borderId="1" xfId="1" applyNumberFormat="1" applyFont="1" applyFill="1" applyBorder="1" applyAlignment="1">
      <alignment horizontal="right"/>
    </xf>
    <xf numFmtId="0" fontId="5" fillId="3" borderId="2" xfId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2" fillId="5" borderId="4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right"/>
    </xf>
    <xf numFmtId="0" fontId="5" fillId="9" borderId="2" xfId="1" applyNumberFormat="1" applyFont="1" applyFill="1" applyBorder="1" applyAlignment="1">
      <alignment horizontal="right"/>
    </xf>
    <xf numFmtId="3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5" fillId="0" borderId="0" xfId="1" applyNumberFormat="1" applyFont="1" applyFill="1" applyBorder="1"/>
    <xf numFmtId="0" fontId="0" fillId="9" borderId="0" xfId="0" applyFill="1"/>
    <xf numFmtId="0" fontId="0" fillId="0" borderId="0" xfId="0" applyAlignment="1">
      <alignment horizontal="right" vertical="center" wrapText="1"/>
    </xf>
    <xf numFmtId="0" fontId="3" fillId="0" borderId="1" xfId="0" applyFont="1" applyBorder="1"/>
    <xf numFmtId="0" fontId="0" fillId="0" borderId="1" xfId="0" applyBorder="1"/>
    <xf numFmtId="0" fontId="0" fillId="10" borderId="1" xfId="0" applyFill="1" applyBorder="1"/>
    <xf numFmtId="9" fontId="0" fillId="0" borderId="1" xfId="0" applyNumberFormat="1" applyBorder="1"/>
    <xf numFmtId="0" fontId="4" fillId="4" borderId="5" xfId="1" applyNumberFormat="1" applyFont="1" applyFill="1" applyBorder="1"/>
    <xf numFmtId="0" fontId="4" fillId="4" borderId="6" xfId="1" applyNumberFormat="1" applyFont="1" applyFill="1" applyBorder="1"/>
    <xf numFmtId="0" fontId="4" fillId="4" borderId="7" xfId="1" applyNumberFormat="1" applyFont="1" applyFill="1" applyBorder="1"/>
    <xf numFmtId="0" fontId="4" fillId="12" borderId="7" xfId="1" applyNumberFormat="1" applyFont="1" applyFill="1" applyBorder="1"/>
    <xf numFmtId="0" fontId="4" fillId="12" borderId="1" xfId="1" applyNumberFormat="1" applyFont="1" applyFill="1" applyBorder="1"/>
    <xf numFmtId="164" fontId="11" fillId="11" borderId="2" xfId="2" applyNumberFormat="1" applyFont="1" applyBorder="1" applyAlignment="1">
      <alignment horizontal="center"/>
    </xf>
    <xf numFmtId="0" fontId="11" fillId="11" borderId="2" xfId="2" applyFont="1" applyBorder="1"/>
    <xf numFmtId="0" fontId="11" fillId="11" borderId="2" xfId="2" applyFont="1" applyBorder="1" applyAlignment="1">
      <alignment horizontal="right"/>
    </xf>
    <xf numFmtId="0" fontId="11" fillId="11" borderId="2" xfId="2" applyNumberFormat="1" applyFont="1" applyBorder="1"/>
    <xf numFmtId="0" fontId="11" fillId="11" borderId="6" xfId="2" applyNumberFormat="1" applyFont="1" applyBorder="1"/>
    <xf numFmtId="0" fontId="11" fillId="11" borderId="7" xfId="2" applyNumberFormat="1" applyFont="1" applyBorder="1"/>
    <xf numFmtId="0" fontId="3" fillId="4" borderId="1" xfId="0" applyFont="1" applyFill="1" applyBorder="1"/>
    <xf numFmtId="0" fontId="0" fillId="4" borderId="1" xfId="0" applyFill="1" applyBorder="1"/>
    <xf numFmtId="0" fontId="1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13" fillId="15" borderId="1" xfId="0" applyFont="1" applyFill="1" applyBorder="1" applyAlignment="1">
      <alignment horizontal="left"/>
    </xf>
    <xf numFmtId="3" fontId="0" fillId="16" borderId="1" xfId="0" applyNumberFormat="1" applyFill="1" applyBorder="1" applyAlignment="1">
      <alignment horizontal="center"/>
    </xf>
    <xf numFmtId="2" fontId="14" fillId="16" borderId="1" xfId="0" applyNumberFormat="1" applyFont="1" applyFill="1" applyBorder="1" applyAlignment="1">
      <alignment horizontal="center"/>
    </xf>
    <xf numFmtId="3" fontId="0" fillId="17" borderId="1" xfId="0" applyNumberForma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3" fontId="0" fillId="18" borderId="1" xfId="0" applyNumberFormat="1" applyFill="1" applyBorder="1" applyAlignment="1">
      <alignment horizontal="center"/>
    </xf>
    <xf numFmtId="2" fontId="0" fillId="18" borderId="1" xfId="0" applyNumberFormat="1" applyFill="1" applyBorder="1" applyAlignment="1">
      <alignment horizontal="center"/>
    </xf>
    <xf numFmtId="3" fontId="0" fillId="19" borderId="1" xfId="0" applyNumberFormat="1" applyFill="1" applyBorder="1" applyAlignment="1">
      <alignment horizontal="center"/>
    </xf>
    <xf numFmtId="2" fontId="0" fillId="19" borderId="1" xfId="0" applyNumberFormat="1" applyFill="1" applyBorder="1" applyAlignment="1">
      <alignment horizontal="center"/>
    </xf>
    <xf numFmtId="3" fontId="0" fillId="20" borderId="1" xfId="0" applyNumberFormat="1" applyFill="1" applyBorder="1" applyAlignment="1">
      <alignment horizontal="center"/>
    </xf>
    <xf numFmtId="2" fontId="0" fillId="20" borderId="1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2" fontId="0" fillId="21" borderId="1" xfId="0" applyNumberFormat="1" applyFill="1" applyBorder="1" applyAlignment="1">
      <alignment horizontal="center"/>
    </xf>
    <xf numFmtId="3" fontId="0" fillId="22" borderId="1" xfId="0" applyNumberFormat="1" applyFill="1" applyBorder="1" applyAlignment="1">
      <alignment horizontal="center"/>
    </xf>
    <xf numFmtId="2" fontId="0" fillId="22" borderId="1" xfId="0" applyNumberFormat="1" applyFill="1" applyBorder="1" applyAlignment="1">
      <alignment horizontal="center"/>
    </xf>
    <xf numFmtId="3" fontId="0" fillId="23" borderId="1" xfId="0" applyNumberFormat="1" applyFill="1" applyBorder="1" applyAlignment="1">
      <alignment horizontal="center"/>
    </xf>
    <xf numFmtId="2" fontId="0" fillId="23" borderId="1" xfId="0" applyNumberFormat="1" applyFill="1" applyBorder="1" applyAlignment="1">
      <alignment horizontal="center"/>
    </xf>
    <xf numFmtId="3" fontId="0" fillId="24" borderId="1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/>
    </xf>
    <xf numFmtId="3" fontId="0" fillId="25" borderId="1" xfId="0" applyNumberFormat="1" applyFill="1" applyBorder="1" applyAlignment="1">
      <alignment horizontal="center"/>
    </xf>
    <xf numFmtId="2" fontId="0" fillId="25" borderId="1" xfId="0" applyNumberFormat="1" applyFill="1" applyBorder="1" applyAlignment="1">
      <alignment horizontal="center"/>
    </xf>
    <xf numFmtId="3" fontId="3" fillId="26" borderId="1" xfId="0" applyNumberFormat="1" applyFont="1" applyFill="1" applyBorder="1" applyAlignment="1">
      <alignment horizontal="center"/>
    </xf>
    <xf numFmtId="0" fontId="15" fillId="27" borderId="1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10" fontId="3" fillId="0" borderId="1" xfId="0" applyNumberFormat="1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</cellXfs>
  <cellStyles count="3">
    <cellStyle name="Bad" xfId="2" builtinId="27"/>
    <cellStyle name="Comma" xfId="1" builtinId="3"/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9FA68-EF4C-46BF-85D6-2709B8431FA5}" name="Table1" displayName="Table1" ref="A4:M10" totalsRowShown="0" headerRowDxfId="25" dataDxfId="24" tableBorderDxfId="23" dataCellStyle="Comma">
  <autoFilter ref="A4:M10" xr:uid="{6939FA68-EF4C-46BF-85D6-2709B8431FA5}"/>
  <tableColumns count="13">
    <tableColumn id="1" xr3:uid="{13309D63-2ACE-47D9-BFAC-37325C77A627}" name="GN_Division code " dataDxfId="22"/>
    <tableColumn id="2" xr3:uid="{11EB800A-067B-409C-8A3B-DD291C34BF88}" name="GN_Division_Name" dataDxfId="21"/>
    <tableColumn id="3" xr3:uid="{1DAADB98-26BB-45B0-9DF9-D8552F7621B1}" name="GN_Division_Number" dataDxfId="20"/>
    <tableColumn id="4" xr3:uid="{656986D4-43B5-4AB0-B254-201587763919}" name="Total" dataDxfId="19" dataCellStyle="Comma"/>
    <tableColumn id="5" xr3:uid="{B401F819-A070-43F7-B139-4CEB43597749}" name="Male" dataDxfId="18" dataCellStyle="Comma"/>
    <tableColumn id="6" xr3:uid="{9C6BC2EC-A7A3-4377-B57A-A4C0B0D5F3AA}" name="Female" dataDxfId="17" dataCellStyle="Comma"/>
    <tableColumn id="7" xr3:uid="{3DCC8CFA-8BD1-4304-9D5F-0661F00B1C53}" name="Total2" dataDxfId="16" dataCellStyle="Comma"/>
    <tableColumn id="8" xr3:uid="{DF767248-BFA8-42D9-B5BA-0FB6EB397711}" name="0-14" dataDxfId="15" dataCellStyle="Comma"/>
    <tableColumn id="9" xr3:uid="{7C643E25-D37E-470C-B9C5-9CCAFA0F8A53}" name="15-59" dataDxfId="14" dataCellStyle="Comma"/>
    <tableColumn id="10" xr3:uid="{0A31790E-BA64-4591-936A-7F38182FCA05}" name="60-64" dataDxfId="13" dataCellStyle="Comma"/>
    <tableColumn id="11" xr3:uid="{B8432866-FFD9-4234-B208-A0660DF7FE27}" name="65 above " dataDxfId="12" dataCellStyle="Comma"/>
    <tableColumn id="12" xr3:uid="{EBDA675B-F639-40AF-A476-82D66E99331C}" name="Area" dataDxfId="11" dataCellStyle="Comma"/>
    <tableColumn id="13" xr3:uid="{4B3186B4-9C95-4379-8FC5-17990A5543E1}" name="Population Density (2024)" dataDxfId="1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443607-541E-4FDD-B937-CCE3321D1C5C}" name="Table4" displayName="Table4" ref="A14:D29" totalsRowShown="0" headerRowDxfId="9">
  <autoFilter ref="A14:D29" xr:uid="{5B443607-541E-4FDD-B937-CCE3321D1C5C}"/>
  <tableColumns count="4">
    <tableColumn id="1" xr3:uid="{819936E1-9F4D-4D78-9EE2-BC8F9BCBAD4B}" name="Year"/>
    <tableColumn id="2" xr3:uid="{75DE7939-12E5-469F-A61E-ECDDF117FBD5}" name="GN_Divition_Name"/>
    <tableColumn id="3" xr3:uid="{27FF12CB-0E06-4816-8FCB-8CC983C9C963}" name="Population " dataDxfId="8"/>
    <tableColumn id="4" xr3:uid="{F1779113-E973-455E-A6F1-CB8059BC4B32}" name="Each Year Total Population " dataDxfId="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D061B0-3BAE-4348-BBD2-311E4C3D01D1}" name="Table2" displayName="Table2" ref="A3:C9" totalsRowShown="0" headerRowDxfId="6" headerRowBorderDxfId="5" tableBorderDxfId="4" totalsRowBorderDxfId="3">
  <autoFilter ref="A3:C9" xr:uid="{7CD061B0-3BAE-4348-BBD2-311E4C3D01D1}"/>
  <tableColumns count="3">
    <tableColumn id="1" xr3:uid="{B69AA1AC-D9B8-4E08-94E4-E86DBE2FD831}" name="GN_Division_Name" dataDxfId="2"/>
    <tableColumn id="2" xr3:uid="{92EC177A-0342-465F-B3BA-043FCC2BDC6D}" name="GN_Division_Code" dataDxfId="1"/>
    <tableColumn id="3" xr3:uid="{C71F3135-EA39-436B-BDB4-CF030F32EC88}" name="Housing Units 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AB9C-FD7A-4FC7-83AF-71AC3E656C35}">
  <dimension ref="A1:CC32"/>
  <sheetViews>
    <sheetView topLeftCell="A13" workbookViewId="0">
      <selection activeCell="M10" sqref="M10"/>
    </sheetView>
  </sheetViews>
  <sheetFormatPr defaultRowHeight="14.4" x14ac:dyDescent="0.3"/>
  <cols>
    <col min="1" max="1" width="18" customWidth="1"/>
    <col min="2" max="2" width="21.109375" customWidth="1"/>
    <col min="3" max="3" width="20.88671875" customWidth="1"/>
    <col min="4" max="4" width="24.33203125" customWidth="1"/>
    <col min="11" max="11" width="11" customWidth="1"/>
    <col min="12" max="12" width="14.77734375" customWidth="1"/>
    <col min="13" max="13" width="19" customWidth="1"/>
  </cols>
  <sheetData>
    <row r="1" spans="1:81" x14ac:dyDescent="0.3">
      <c r="A1" s="86" t="s">
        <v>21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81" x14ac:dyDescent="0.3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O2" s="29"/>
      <c r="P2" s="29"/>
      <c r="Q2" s="29"/>
      <c r="AD2" s="29"/>
      <c r="AE2" s="29"/>
      <c r="AF2" s="29"/>
      <c r="AU2" s="29"/>
      <c r="AV2" s="29"/>
      <c r="AW2" s="29"/>
      <c r="AZ2" s="29"/>
      <c r="BA2" s="29"/>
      <c r="BB2" s="29"/>
      <c r="BJ2" s="29"/>
      <c r="BK2" s="29"/>
      <c r="BL2" s="29"/>
      <c r="BP2" s="29"/>
      <c r="BQ2" s="29"/>
      <c r="BR2" s="29"/>
      <c r="BV2" s="29"/>
      <c r="BW2" s="29"/>
      <c r="BX2" s="29"/>
      <c r="CA2" s="29"/>
      <c r="CB2" s="29"/>
      <c r="CC2" s="29"/>
    </row>
    <row r="3" spans="1:81" x14ac:dyDescent="0.3">
      <c r="D3" s="9" t="s">
        <v>20</v>
      </c>
      <c r="E3" s="9"/>
      <c r="F3" s="9"/>
      <c r="G3" s="14" t="s">
        <v>19</v>
      </c>
      <c r="H3" s="14"/>
      <c r="I3" s="14"/>
      <c r="J3" s="14"/>
      <c r="K3" s="14"/>
      <c r="O3" s="29"/>
      <c r="P3" s="29"/>
      <c r="Q3" s="29"/>
    </row>
    <row r="4" spans="1:81" x14ac:dyDescent="0.3">
      <c r="A4" t="s">
        <v>5</v>
      </c>
      <c r="B4" s="3" t="s">
        <v>6</v>
      </c>
      <c r="C4" s="3" t="s">
        <v>7</v>
      </c>
      <c r="D4" s="3" t="s">
        <v>11</v>
      </c>
      <c r="E4" s="3" t="s">
        <v>12</v>
      </c>
      <c r="F4" s="3" t="s">
        <v>13</v>
      </c>
      <c r="G4" s="3" t="s">
        <v>18</v>
      </c>
      <c r="H4" s="3" t="s">
        <v>14</v>
      </c>
      <c r="I4" s="3" t="s">
        <v>15</v>
      </c>
      <c r="J4" s="3" t="s">
        <v>16</v>
      </c>
      <c r="K4" s="3" t="s">
        <v>17</v>
      </c>
      <c r="L4" s="38" t="s">
        <v>101</v>
      </c>
      <c r="M4" s="3" t="s">
        <v>102</v>
      </c>
      <c r="O4" s="29"/>
      <c r="P4" s="29"/>
      <c r="Q4" s="29"/>
    </row>
    <row r="5" spans="1:81" x14ac:dyDescent="0.3">
      <c r="A5" s="1">
        <v>5</v>
      </c>
      <c r="B5" s="2" t="s">
        <v>0</v>
      </c>
      <c r="C5" s="4">
        <v>541</v>
      </c>
      <c r="D5" s="10">
        <v>8086</v>
      </c>
      <c r="E5" s="12">
        <v>4154</v>
      </c>
      <c r="F5" s="12">
        <v>3932</v>
      </c>
      <c r="G5" s="15">
        <v>8086</v>
      </c>
      <c r="H5" s="17">
        <v>1207</v>
      </c>
      <c r="I5" s="17">
        <v>5139</v>
      </c>
      <c r="J5" s="17">
        <v>497</v>
      </c>
      <c r="K5" s="42">
        <v>1243</v>
      </c>
      <c r="L5" s="45">
        <v>1.0960000000000001</v>
      </c>
      <c r="M5" s="44">
        <v>7377</v>
      </c>
      <c r="O5" s="29"/>
      <c r="P5" s="29"/>
      <c r="Q5" s="29"/>
    </row>
    <row r="6" spans="1:81" x14ac:dyDescent="0.3">
      <c r="A6" s="1">
        <v>10</v>
      </c>
      <c r="B6" s="2" t="s">
        <v>1</v>
      </c>
      <c r="C6" s="4" t="s">
        <v>8</v>
      </c>
      <c r="D6" s="10">
        <v>6643</v>
      </c>
      <c r="E6" s="12">
        <v>3298</v>
      </c>
      <c r="F6" s="12">
        <v>3345</v>
      </c>
      <c r="G6" s="15">
        <v>6643</v>
      </c>
      <c r="H6" s="17">
        <v>1061</v>
      </c>
      <c r="I6" s="17">
        <v>4202</v>
      </c>
      <c r="J6" s="17">
        <v>432</v>
      </c>
      <c r="K6" s="42">
        <v>948</v>
      </c>
      <c r="L6" s="46">
        <v>0.51529999999999998</v>
      </c>
      <c r="M6" s="17">
        <v>12893</v>
      </c>
      <c r="O6" s="29"/>
      <c r="P6" s="29"/>
      <c r="Q6" s="29"/>
    </row>
    <row r="7" spans="1:81" x14ac:dyDescent="0.3">
      <c r="A7" s="1">
        <v>15</v>
      </c>
      <c r="B7" s="2" t="s">
        <v>2</v>
      </c>
      <c r="C7" s="4">
        <v>544</v>
      </c>
      <c r="D7" s="10">
        <v>6185</v>
      </c>
      <c r="E7" s="12">
        <v>2982</v>
      </c>
      <c r="F7" s="12">
        <v>3203</v>
      </c>
      <c r="G7" s="15">
        <v>6185</v>
      </c>
      <c r="H7" s="17">
        <v>1002</v>
      </c>
      <c r="I7" s="17">
        <v>3942</v>
      </c>
      <c r="J7" s="17">
        <v>395</v>
      </c>
      <c r="K7" s="42">
        <v>846</v>
      </c>
      <c r="L7" s="46">
        <v>0.38590000000000002</v>
      </c>
      <c r="M7" s="17">
        <v>16030</v>
      </c>
      <c r="P7" s="29"/>
      <c r="Q7" s="29"/>
      <c r="R7" s="29"/>
    </row>
    <row r="8" spans="1:81" x14ac:dyDescent="0.3">
      <c r="A8" s="1">
        <v>20</v>
      </c>
      <c r="B8" s="2" t="s">
        <v>3</v>
      </c>
      <c r="C8" s="4" t="s">
        <v>9</v>
      </c>
      <c r="D8" s="10">
        <v>4259</v>
      </c>
      <c r="E8" s="12">
        <v>1998</v>
      </c>
      <c r="F8" s="12">
        <v>2261</v>
      </c>
      <c r="G8" s="15">
        <v>4259</v>
      </c>
      <c r="H8" s="17">
        <v>566</v>
      </c>
      <c r="I8" s="17">
        <v>2518</v>
      </c>
      <c r="J8" s="17">
        <v>334</v>
      </c>
      <c r="K8" s="42">
        <v>841</v>
      </c>
      <c r="L8" s="46">
        <v>0.5373</v>
      </c>
      <c r="M8" s="17">
        <v>7926</v>
      </c>
    </row>
    <row r="9" spans="1:81" x14ac:dyDescent="0.3">
      <c r="A9" s="5">
        <v>45</v>
      </c>
      <c r="B9" s="6" t="s">
        <v>4</v>
      </c>
      <c r="C9" s="7" t="s">
        <v>10</v>
      </c>
      <c r="D9" s="11">
        <v>6843</v>
      </c>
      <c r="E9" s="13">
        <v>3220</v>
      </c>
      <c r="F9" s="13">
        <v>3623</v>
      </c>
      <c r="G9" s="16">
        <v>6843</v>
      </c>
      <c r="H9" s="18">
        <v>1064</v>
      </c>
      <c r="I9" s="18">
        <v>4244</v>
      </c>
      <c r="J9" s="18">
        <v>406</v>
      </c>
      <c r="K9" s="43">
        <v>1129</v>
      </c>
      <c r="L9" s="46">
        <v>0.65749999999999997</v>
      </c>
      <c r="M9" s="17">
        <v>10408</v>
      </c>
    </row>
    <row r="10" spans="1:81" x14ac:dyDescent="0.3">
      <c r="A10" s="47" t="s">
        <v>11</v>
      </c>
      <c r="B10" s="48"/>
      <c r="C10" s="49"/>
      <c r="D10" s="50">
        <f>SUBTOTAL(109,D5:D9)</f>
        <v>32016</v>
      </c>
      <c r="E10" s="50">
        <f>SUBTOTAL(109,E5:E9)</f>
        <v>15652</v>
      </c>
      <c r="F10" s="50">
        <f>SUBTOTAL(109,F5:F9)</f>
        <v>16364</v>
      </c>
      <c r="G10" s="50">
        <f>SUBTOTAL(109,G5:G9)</f>
        <v>32016</v>
      </c>
      <c r="H10" s="50">
        <f t="shared" ref="H10:K10" si="0">SUBTOTAL(109,H5:H9)</f>
        <v>4900</v>
      </c>
      <c r="I10" s="50">
        <f t="shared" si="0"/>
        <v>20045</v>
      </c>
      <c r="J10" s="50">
        <f t="shared" si="0"/>
        <v>2064</v>
      </c>
      <c r="K10" s="51">
        <f t="shared" si="0"/>
        <v>5007</v>
      </c>
      <c r="L10" s="52">
        <f>SUM(L5:L9)</f>
        <v>3.1920000000000002</v>
      </c>
      <c r="M10" s="50">
        <v>10030</v>
      </c>
    </row>
    <row r="13" spans="1:81" ht="24" customHeight="1" x14ac:dyDescent="0.5">
      <c r="A13" s="87" t="s">
        <v>41</v>
      </c>
      <c r="B13" s="88"/>
      <c r="C13" s="88"/>
      <c r="D13" s="88"/>
    </row>
    <row r="14" spans="1:81" x14ac:dyDescent="0.3">
      <c r="A14" s="3" t="s">
        <v>38</v>
      </c>
      <c r="B14" s="3" t="s">
        <v>39</v>
      </c>
      <c r="C14" s="3" t="s">
        <v>40</v>
      </c>
      <c r="D14" s="3" t="s">
        <v>100</v>
      </c>
      <c r="G14" s="35"/>
    </row>
    <row r="15" spans="1:81" x14ac:dyDescent="0.3">
      <c r="A15">
        <v>2001</v>
      </c>
      <c r="B15" t="s">
        <v>0</v>
      </c>
      <c r="C15" s="31">
        <v>11188</v>
      </c>
      <c r="G15" s="35"/>
    </row>
    <row r="16" spans="1:81" x14ac:dyDescent="0.3">
      <c r="B16" t="s">
        <v>1</v>
      </c>
      <c r="C16" s="31">
        <v>7024</v>
      </c>
      <c r="G16" s="35"/>
      <c r="I16" s="30"/>
      <c r="J16" s="30"/>
      <c r="K16" s="31"/>
    </row>
    <row r="17" spans="1:11" x14ac:dyDescent="0.3">
      <c r="B17" t="s">
        <v>2</v>
      </c>
      <c r="C17" s="31">
        <v>7002</v>
      </c>
      <c r="G17" s="35"/>
      <c r="I17" s="32"/>
      <c r="J17" s="32"/>
      <c r="K17" s="33"/>
    </row>
    <row r="18" spans="1:11" x14ac:dyDescent="0.3">
      <c r="B18" t="s">
        <v>3</v>
      </c>
      <c r="C18" s="31">
        <v>6130</v>
      </c>
      <c r="G18" s="35"/>
      <c r="I18" s="32"/>
      <c r="J18" s="32"/>
      <c r="K18" s="33"/>
    </row>
    <row r="19" spans="1:11" x14ac:dyDescent="0.3">
      <c r="B19" t="s">
        <v>4</v>
      </c>
      <c r="C19" s="31">
        <v>8733</v>
      </c>
      <c r="D19" s="36">
        <f>SUM(C15:C19)</f>
        <v>40077</v>
      </c>
      <c r="I19" s="32"/>
      <c r="J19" s="32"/>
      <c r="K19" s="33"/>
    </row>
    <row r="20" spans="1:11" x14ac:dyDescent="0.3">
      <c r="A20">
        <v>2012</v>
      </c>
      <c r="B20" t="s">
        <v>0</v>
      </c>
      <c r="C20" s="3">
        <v>8373</v>
      </c>
      <c r="I20" s="32"/>
      <c r="J20" s="32"/>
      <c r="K20" s="33"/>
    </row>
    <row r="21" spans="1:11" x14ac:dyDescent="0.3">
      <c r="B21" t="s">
        <v>1</v>
      </c>
      <c r="C21" s="3">
        <v>6624</v>
      </c>
      <c r="I21" s="32"/>
      <c r="J21" s="32"/>
      <c r="K21" s="33"/>
    </row>
    <row r="22" spans="1:11" x14ac:dyDescent="0.3">
      <c r="B22" t="s">
        <v>2</v>
      </c>
      <c r="C22" s="3">
        <v>6311</v>
      </c>
      <c r="I22" s="34"/>
      <c r="J22" s="32"/>
      <c r="K22" s="33"/>
    </row>
    <row r="23" spans="1:11" x14ac:dyDescent="0.3">
      <c r="B23" t="s">
        <v>3</v>
      </c>
      <c r="C23" s="3">
        <v>4608</v>
      </c>
    </row>
    <row r="24" spans="1:11" x14ac:dyDescent="0.3">
      <c r="B24" t="s">
        <v>4</v>
      </c>
      <c r="C24" s="3">
        <v>7585</v>
      </c>
      <c r="D24" s="36">
        <f>SUM(C20:C24)</f>
        <v>33501</v>
      </c>
    </row>
    <row r="25" spans="1:11" x14ac:dyDescent="0.3">
      <c r="A25">
        <v>2024</v>
      </c>
      <c r="B25" t="s">
        <v>0</v>
      </c>
      <c r="C25" s="3">
        <v>8086</v>
      </c>
      <c r="G25" t="s">
        <v>61</v>
      </c>
    </row>
    <row r="26" spans="1:11" x14ac:dyDescent="0.3">
      <c r="B26" t="s">
        <v>1</v>
      </c>
      <c r="C26" s="3">
        <v>6643</v>
      </c>
    </row>
    <row r="27" spans="1:11" x14ac:dyDescent="0.3">
      <c r="B27" t="s">
        <v>2</v>
      </c>
      <c r="C27" s="3">
        <v>6185</v>
      </c>
    </row>
    <row r="28" spans="1:11" x14ac:dyDescent="0.3">
      <c r="B28" t="s">
        <v>3</v>
      </c>
      <c r="C28" s="3">
        <v>4259</v>
      </c>
    </row>
    <row r="29" spans="1:11" x14ac:dyDescent="0.3">
      <c r="B29" t="s">
        <v>4</v>
      </c>
      <c r="C29" s="3">
        <v>6843</v>
      </c>
      <c r="D29" s="36">
        <f>SUM(C25:C29)</f>
        <v>32016</v>
      </c>
    </row>
    <row r="30" spans="1:11" x14ac:dyDescent="0.3">
      <c r="C30" s="3"/>
    </row>
    <row r="31" spans="1:11" x14ac:dyDescent="0.3">
      <c r="C31" s="3"/>
    </row>
    <row r="32" spans="1:11" x14ac:dyDescent="0.3">
      <c r="C32" s="3"/>
    </row>
  </sheetData>
  <mergeCells count="2">
    <mergeCell ref="A1:K2"/>
    <mergeCell ref="A13:D13"/>
  </mergeCells>
  <phoneticPr fontId="7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97B9-776B-445B-A1EE-F03FEC8A6568}">
  <dimension ref="A1:C9"/>
  <sheetViews>
    <sheetView workbookViewId="0">
      <selection activeCell="F15" sqref="F15"/>
    </sheetView>
  </sheetViews>
  <sheetFormatPr defaultRowHeight="14.4" x14ac:dyDescent="0.3"/>
  <cols>
    <col min="1" max="1" width="19.6640625" customWidth="1"/>
    <col min="2" max="2" width="19" customWidth="1"/>
    <col min="3" max="3" width="20.88671875" style="25" customWidth="1"/>
  </cols>
  <sheetData>
    <row r="1" spans="1:3" x14ac:dyDescent="0.3">
      <c r="A1" s="89" t="s">
        <v>37</v>
      </c>
      <c r="B1" s="90"/>
      <c r="C1" s="90"/>
    </row>
    <row r="2" spans="1:3" x14ac:dyDescent="0.3">
      <c r="A2" s="90"/>
      <c r="B2" s="90"/>
      <c r="C2" s="90"/>
    </row>
    <row r="3" spans="1:3" x14ac:dyDescent="0.3">
      <c r="A3" s="21" t="s">
        <v>6</v>
      </c>
      <c r="B3" s="26" t="s">
        <v>244</v>
      </c>
      <c r="C3" s="26" t="s">
        <v>243</v>
      </c>
    </row>
    <row r="4" spans="1:3" x14ac:dyDescent="0.3">
      <c r="A4" s="2" t="s">
        <v>0</v>
      </c>
      <c r="B4" s="20">
        <v>541</v>
      </c>
      <c r="C4" s="23">
        <v>2497</v>
      </c>
    </row>
    <row r="5" spans="1:3" x14ac:dyDescent="0.3">
      <c r="A5" s="2" t="s">
        <v>1</v>
      </c>
      <c r="B5" s="20" t="s">
        <v>8</v>
      </c>
      <c r="C5" s="23">
        <v>1850</v>
      </c>
    </row>
    <row r="6" spans="1:3" x14ac:dyDescent="0.3">
      <c r="A6" s="2" t="s">
        <v>2</v>
      </c>
      <c r="B6" s="20">
        <v>544</v>
      </c>
      <c r="C6" s="23">
        <v>1747</v>
      </c>
    </row>
    <row r="7" spans="1:3" x14ac:dyDescent="0.3">
      <c r="A7" s="2" t="s">
        <v>3</v>
      </c>
      <c r="B7" s="20" t="s">
        <v>9</v>
      </c>
      <c r="C7" s="23">
        <v>1362</v>
      </c>
    </row>
    <row r="8" spans="1:3" x14ac:dyDescent="0.3">
      <c r="A8" s="6" t="s">
        <v>4</v>
      </c>
      <c r="B8" s="22" t="s">
        <v>10</v>
      </c>
      <c r="C8" s="24">
        <v>1977</v>
      </c>
    </row>
    <row r="9" spans="1:3" x14ac:dyDescent="0.3">
      <c r="A9" s="19" t="s">
        <v>36</v>
      </c>
      <c r="B9" s="27"/>
      <c r="C9" s="28">
        <f>SUBTOTAL(109,C4:C8)</f>
        <v>9433</v>
      </c>
    </row>
  </sheetData>
  <mergeCells count="1">
    <mergeCell ref="A1:C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35FD-936B-4B79-9A44-65F5D8B4DBE1}">
  <dimension ref="A1:C9"/>
  <sheetViews>
    <sheetView workbookViewId="0">
      <selection activeCell="B8" sqref="B8"/>
    </sheetView>
  </sheetViews>
  <sheetFormatPr defaultRowHeight="14.4" x14ac:dyDescent="0.3"/>
  <cols>
    <col min="1" max="1" width="35.88671875" customWidth="1"/>
    <col min="2" max="2" width="19.5546875" customWidth="1"/>
    <col min="3" max="3" width="15.44140625" customWidth="1"/>
  </cols>
  <sheetData>
    <row r="1" spans="1:3" ht="28.8" x14ac:dyDescent="0.55000000000000004">
      <c r="A1" s="85" t="s">
        <v>50</v>
      </c>
      <c r="B1" s="85"/>
      <c r="C1" s="8"/>
    </row>
    <row r="2" spans="1:3" x14ac:dyDescent="0.3">
      <c r="A2" s="40" t="s">
        <v>42</v>
      </c>
      <c r="B2" s="40" t="s">
        <v>99</v>
      </c>
    </row>
    <row r="3" spans="1:3" x14ac:dyDescent="0.3">
      <c r="A3" s="39" t="s">
        <v>44</v>
      </c>
      <c r="B3" s="39">
        <v>32016</v>
      </c>
    </row>
    <row r="4" spans="1:3" x14ac:dyDescent="0.3">
      <c r="A4" s="39" t="s">
        <v>45</v>
      </c>
      <c r="B4" s="39">
        <v>9433</v>
      </c>
    </row>
    <row r="5" spans="1:3" x14ac:dyDescent="0.3">
      <c r="A5" s="39" t="s">
        <v>43</v>
      </c>
      <c r="B5" s="39" t="s">
        <v>49</v>
      </c>
    </row>
    <row r="6" spans="1:3" x14ac:dyDescent="0.3">
      <c r="A6" s="39" t="s">
        <v>46</v>
      </c>
      <c r="B6" s="39">
        <v>5</v>
      </c>
    </row>
    <row r="7" spans="1:3" x14ac:dyDescent="0.3">
      <c r="A7" s="54" t="s">
        <v>47</v>
      </c>
      <c r="B7" s="54">
        <v>3.1920000000000002</v>
      </c>
    </row>
    <row r="8" spans="1:3" x14ac:dyDescent="0.3">
      <c r="A8" s="39" t="s">
        <v>48</v>
      </c>
      <c r="B8" s="41">
        <v>0.92</v>
      </c>
    </row>
    <row r="9" spans="1:3" x14ac:dyDescent="0.3">
      <c r="A9" s="54" t="s">
        <v>103</v>
      </c>
      <c r="B9" s="54" t="s">
        <v>104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9801-FCB1-42EE-96F3-EDB3D10A898D}">
  <dimension ref="A1:B14"/>
  <sheetViews>
    <sheetView workbookViewId="0">
      <selection activeCell="F15" sqref="F15"/>
    </sheetView>
  </sheetViews>
  <sheetFormatPr defaultRowHeight="14.4" x14ac:dyDescent="0.3"/>
  <cols>
    <col min="1" max="1" width="34.77734375" customWidth="1"/>
    <col min="2" max="2" width="18.44140625" customWidth="1"/>
  </cols>
  <sheetData>
    <row r="1" spans="1:2" ht="22.8" customHeight="1" x14ac:dyDescent="0.3">
      <c r="A1" s="83" t="s">
        <v>51</v>
      </c>
      <c r="B1" s="84" t="s">
        <v>242</v>
      </c>
    </row>
    <row r="2" spans="1:2" x14ac:dyDescent="0.3">
      <c r="A2" s="81" t="s">
        <v>52</v>
      </c>
      <c r="B2" s="82">
        <v>0.62460000000000004</v>
      </c>
    </row>
    <row r="3" spans="1:2" x14ac:dyDescent="0.3">
      <c r="A3" s="81" t="s">
        <v>54</v>
      </c>
      <c r="B3" s="82">
        <v>0.11940000000000001</v>
      </c>
    </row>
    <row r="4" spans="1:2" x14ac:dyDescent="0.3">
      <c r="A4" s="81" t="s">
        <v>53</v>
      </c>
      <c r="B4" s="82">
        <v>9.8100000000000007E-2</v>
      </c>
    </row>
    <row r="5" spans="1:2" x14ac:dyDescent="0.3">
      <c r="A5" s="81" t="s">
        <v>55</v>
      </c>
      <c r="B5" s="82">
        <v>3.4799999999999998E-2</v>
      </c>
    </row>
    <row r="6" spans="1:2" x14ac:dyDescent="0.3">
      <c r="A6" s="81" t="s">
        <v>58</v>
      </c>
      <c r="B6" s="82">
        <v>3.09E-2</v>
      </c>
    </row>
    <row r="7" spans="1:2" x14ac:dyDescent="0.3">
      <c r="A7" s="81" t="s">
        <v>239</v>
      </c>
      <c r="B7" s="82">
        <v>2.47E-2</v>
      </c>
    </row>
    <row r="8" spans="1:2" x14ac:dyDescent="0.3">
      <c r="A8" s="81" t="s">
        <v>57</v>
      </c>
      <c r="B8" s="82">
        <v>2.1700000000000001E-2</v>
      </c>
    </row>
    <row r="9" spans="1:2" ht="22.8" customHeight="1" x14ac:dyDescent="0.3">
      <c r="A9" s="81" t="s">
        <v>240</v>
      </c>
      <c r="B9" s="82">
        <v>2.18E-2</v>
      </c>
    </row>
    <row r="10" spans="1:2" x14ac:dyDescent="0.3">
      <c r="A10" s="81" t="s">
        <v>59</v>
      </c>
      <c r="B10" s="82">
        <v>5.5999999999999999E-3</v>
      </c>
    </row>
    <row r="11" spans="1:2" x14ac:dyDescent="0.3">
      <c r="A11" s="81" t="s">
        <v>56</v>
      </c>
      <c r="B11" s="82">
        <v>3.3999999999999998E-3</v>
      </c>
    </row>
    <row r="12" spans="1:2" x14ac:dyDescent="0.3">
      <c r="A12" s="81" t="s">
        <v>60</v>
      </c>
      <c r="B12" s="82">
        <v>2.8999999999999998E-3</v>
      </c>
    </row>
    <row r="13" spans="1:2" ht="20.399999999999999" customHeight="1" x14ac:dyDescent="0.3">
      <c r="A13" s="81" t="s">
        <v>241</v>
      </c>
      <c r="B13" s="82">
        <v>5.0000000000000001E-4</v>
      </c>
    </row>
    <row r="14" spans="1:2" ht="18.600000000000001" customHeight="1" x14ac:dyDescent="0.3">
      <c r="A14" s="32"/>
      <c r="B14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ABBE-8C04-4349-8841-7131D306388D}">
  <dimension ref="A1:F51"/>
  <sheetViews>
    <sheetView workbookViewId="0">
      <selection sqref="A1:F1"/>
    </sheetView>
  </sheetViews>
  <sheetFormatPr defaultRowHeight="14.4" x14ac:dyDescent="0.3"/>
  <cols>
    <col min="1" max="1" width="51.21875" customWidth="1"/>
    <col min="2" max="2" width="31.21875" customWidth="1"/>
    <col min="3" max="3" width="24.77734375" customWidth="1"/>
    <col min="4" max="4" width="16.77734375" customWidth="1"/>
    <col min="5" max="5" width="20.5546875" customWidth="1"/>
  </cols>
  <sheetData>
    <row r="1" spans="1:6" ht="28.8" x14ac:dyDescent="0.55000000000000004">
      <c r="A1" s="85" t="s">
        <v>105</v>
      </c>
      <c r="B1" s="85"/>
      <c r="C1" s="85"/>
      <c r="D1" s="85"/>
      <c r="E1" s="85"/>
      <c r="F1" s="85"/>
    </row>
    <row r="2" spans="1:6" x14ac:dyDescent="0.3">
      <c r="A2" s="38" t="s">
        <v>22</v>
      </c>
      <c r="B2" s="39">
        <v>65</v>
      </c>
    </row>
    <row r="3" spans="1:6" x14ac:dyDescent="0.3">
      <c r="A3" s="38" t="s">
        <v>25</v>
      </c>
      <c r="B3" s="39">
        <v>7137</v>
      </c>
    </row>
    <row r="4" spans="1:6" x14ac:dyDescent="0.3">
      <c r="A4" s="53" t="s">
        <v>28</v>
      </c>
      <c r="B4" s="53">
        <v>85.72</v>
      </c>
    </row>
    <row r="5" spans="1:6" x14ac:dyDescent="0.3">
      <c r="A5" s="53" t="s">
        <v>29</v>
      </c>
      <c r="B5" s="53">
        <v>4.16</v>
      </c>
    </row>
    <row r="6" spans="1:6" x14ac:dyDescent="0.3">
      <c r="A6" s="53" t="s">
        <v>31</v>
      </c>
      <c r="B6" s="53">
        <v>8.36</v>
      </c>
    </row>
    <row r="7" spans="1:6" x14ac:dyDescent="0.3">
      <c r="A7" s="53" t="s">
        <v>23</v>
      </c>
      <c r="B7" s="53" t="s">
        <v>26</v>
      </c>
    </row>
    <row r="8" spans="1:6" x14ac:dyDescent="0.3">
      <c r="A8" s="53" t="s">
        <v>70</v>
      </c>
      <c r="B8" s="53">
        <v>100</v>
      </c>
    </row>
    <row r="9" spans="1:6" x14ac:dyDescent="0.3">
      <c r="A9" s="53" t="s">
        <v>30</v>
      </c>
      <c r="B9" s="53" t="s">
        <v>65</v>
      </c>
    </row>
    <row r="10" spans="1:6" x14ac:dyDescent="0.3">
      <c r="A10" s="53" t="s">
        <v>71</v>
      </c>
      <c r="B10" s="53">
        <v>24.77</v>
      </c>
    </row>
    <row r="11" spans="1:6" x14ac:dyDescent="0.3">
      <c r="A11" s="53" t="s">
        <v>24</v>
      </c>
      <c r="B11" s="53" t="s">
        <v>27</v>
      </c>
    </row>
    <row r="12" spans="1:6" x14ac:dyDescent="0.3">
      <c r="A12" s="53" t="s">
        <v>72</v>
      </c>
      <c r="B12" s="53">
        <v>46.15</v>
      </c>
    </row>
    <row r="14" spans="1:6" x14ac:dyDescent="0.3">
      <c r="A14" t="s">
        <v>73</v>
      </c>
    </row>
    <row r="15" spans="1:6" x14ac:dyDescent="0.3">
      <c r="A15" s="39" t="s">
        <v>32</v>
      </c>
      <c r="B15" s="39" t="s">
        <v>33</v>
      </c>
      <c r="C15" s="39" t="s">
        <v>34</v>
      </c>
      <c r="D15" s="39" t="s">
        <v>35</v>
      </c>
      <c r="E15" s="39" t="s">
        <v>25</v>
      </c>
    </row>
    <row r="16" spans="1:6" x14ac:dyDescent="0.3">
      <c r="A16" s="39">
        <v>1</v>
      </c>
      <c r="B16" s="39" t="s">
        <v>26</v>
      </c>
      <c r="C16" s="39">
        <v>27</v>
      </c>
      <c r="D16" s="39">
        <v>100</v>
      </c>
      <c r="E16" s="39">
        <v>27</v>
      </c>
    </row>
    <row r="17" spans="1:5" x14ac:dyDescent="0.3">
      <c r="A17" s="39">
        <v>2</v>
      </c>
      <c r="B17" s="39" t="s">
        <v>74</v>
      </c>
      <c r="C17" s="39">
        <v>3</v>
      </c>
      <c r="D17" s="39">
        <v>100</v>
      </c>
      <c r="E17" s="39">
        <v>3</v>
      </c>
    </row>
    <row r="18" spans="1:5" x14ac:dyDescent="0.3">
      <c r="A18" s="39">
        <v>3</v>
      </c>
      <c r="B18" s="39" t="s">
        <v>75</v>
      </c>
      <c r="C18" s="39">
        <v>16</v>
      </c>
      <c r="D18" s="39">
        <v>100</v>
      </c>
      <c r="E18" s="39">
        <v>16</v>
      </c>
    </row>
    <row r="19" spans="1:5" x14ac:dyDescent="0.3">
      <c r="A19" s="39">
        <v>4</v>
      </c>
      <c r="B19" s="39" t="s">
        <v>76</v>
      </c>
      <c r="C19" s="39">
        <v>17</v>
      </c>
      <c r="D19" s="39">
        <v>100</v>
      </c>
      <c r="E19" s="39">
        <v>17</v>
      </c>
    </row>
    <row r="20" spans="1:5" x14ac:dyDescent="0.3">
      <c r="A20" s="39">
        <v>5</v>
      </c>
      <c r="B20" s="39" t="s">
        <v>77</v>
      </c>
      <c r="C20" s="39">
        <v>8</v>
      </c>
      <c r="D20" s="39">
        <v>100</v>
      </c>
      <c r="E20" s="39">
        <v>8</v>
      </c>
    </row>
    <row r="21" spans="1:5" x14ac:dyDescent="0.3">
      <c r="A21" s="39">
        <v>6</v>
      </c>
      <c r="B21" s="39" t="s">
        <v>78</v>
      </c>
      <c r="C21" s="39">
        <v>69</v>
      </c>
      <c r="D21" s="39">
        <v>98.57</v>
      </c>
      <c r="E21" s="39">
        <v>70</v>
      </c>
    </row>
    <row r="22" spans="1:5" x14ac:dyDescent="0.3">
      <c r="A22" s="39">
        <v>7</v>
      </c>
      <c r="B22" s="39" t="s">
        <v>79</v>
      </c>
      <c r="C22" s="39">
        <v>43</v>
      </c>
      <c r="D22" s="39">
        <v>97.73</v>
      </c>
      <c r="E22" s="39">
        <v>44</v>
      </c>
    </row>
    <row r="23" spans="1:5" x14ac:dyDescent="0.3">
      <c r="A23" s="39">
        <v>8</v>
      </c>
      <c r="B23" s="39" t="s">
        <v>80</v>
      </c>
      <c r="C23" s="39">
        <v>54</v>
      </c>
      <c r="D23" s="39">
        <v>96.43</v>
      </c>
      <c r="E23" s="39">
        <v>56</v>
      </c>
    </row>
    <row r="24" spans="1:5" x14ac:dyDescent="0.3">
      <c r="A24" s="39">
        <v>9</v>
      </c>
      <c r="B24" s="39" t="s">
        <v>81</v>
      </c>
      <c r="C24" s="39">
        <v>42</v>
      </c>
      <c r="D24" s="39">
        <v>95.45</v>
      </c>
      <c r="E24" s="39">
        <v>44</v>
      </c>
    </row>
    <row r="25" spans="1:5" x14ac:dyDescent="0.3">
      <c r="A25" s="39">
        <v>10</v>
      </c>
      <c r="B25" s="39" t="s">
        <v>82</v>
      </c>
      <c r="C25" s="39">
        <v>118</v>
      </c>
      <c r="D25" s="39">
        <v>94.4</v>
      </c>
      <c r="E25" s="39">
        <v>125</v>
      </c>
    </row>
    <row r="27" spans="1:5" x14ac:dyDescent="0.3">
      <c r="A27" t="s">
        <v>62</v>
      </c>
    </row>
    <row r="28" spans="1:5" x14ac:dyDescent="0.3">
      <c r="A28" s="39" t="s">
        <v>32</v>
      </c>
      <c r="B28" s="39" t="s">
        <v>33</v>
      </c>
      <c r="C28" s="39" t="s">
        <v>63</v>
      </c>
      <c r="D28" s="39" t="s">
        <v>64</v>
      </c>
      <c r="E28" s="39" t="s">
        <v>25</v>
      </c>
    </row>
    <row r="29" spans="1:5" x14ac:dyDescent="0.3">
      <c r="A29" s="39">
        <v>1</v>
      </c>
      <c r="B29" s="39" t="s">
        <v>65</v>
      </c>
      <c r="C29" s="39">
        <v>27</v>
      </c>
      <c r="D29" s="39">
        <v>24.77</v>
      </c>
      <c r="E29" s="39">
        <v>109</v>
      </c>
    </row>
    <row r="30" spans="1:5" x14ac:dyDescent="0.3">
      <c r="A30" s="39">
        <v>2</v>
      </c>
      <c r="B30" s="39" t="s">
        <v>83</v>
      </c>
      <c r="C30" s="39">
        <v>4</v>
      </c>
      <c r="D30" s="39">
        <v>16.670000000000002</v>
      </c>
      <c r="E30" s="39">
        <v>24</v>
      </c>
    </row>
    <row r="31" spans="1:5" x14ac:dyDescent="0.3">
      <c r="A31" s="39">
        <v>3</v>
      </c>
      <c r="B31" s="39" t="s">
        <v>27</v>
      </c>
      <c r="C31" s="39">
        <v>2</v>
      </c>
      <c r="D31" s="39">
        <v>15.38</v>
      </c>
      <c r="E31" s="39">
        <v>13</v>
      </c>
    </row>
    <row r="32" spans="1:5" x14ac:dyDescent="0.3">
      <c r="A32" s="39">
        <v>4</v>
      </c>
      <c r="B32" s="39" t="s">
        <v>66</v>
      </c>
      <c r="C32" s="39">
        <v>23</v>
      </c>
      <c r="D32" s="39">
        <v>13.94</v>
      </c>
      <c r="E32" s="39">
        <v>165</v>
      </c>
    </row>
    <row r="33" spans="1:5" x14ac:dyDescent="0.3">
      <c r="A33" s="39">
        <v>5</v>
      </c>
      <c r="B33" s="39" t="s">
        <v>84</v>
      </c>
      <c r="C33" s="39">
        <v>15</v>
      </c>
      <c r="D33" s="39">
        <v>9.49</v>
      </c>
      <c r="E33" s="39">
        <v>158</v>
      </c>
    </row>
    <row r="34" spans="1:5" x14ac:dyDescent="0.3">
      <c r="A34" s="39">
        <v>6</v>
      </c>
      <c r="B34" s="39" t="s">
        <v>85</v>
      </c>
      <c r="C34" s="39">
        <v>7</v>
      </c>
      <c r="D34" s="39">
        <v>8.33</v>
      </c>
      <c r="E34" s="39">
        <v>84</v>
      </c>
    </row>
    <row r="35" spans="1:5" x14ac:dyDescent="0.3">
      <c r="A35" s="39">
        <v>7</v>
      </c>
      <c r="B35" s="39" t="s">
        <v>86</v>
      </c>
      <c r="C35" s="39">
        <v>4</v>
      </c>
      <c r="D35" s="39">
        <v>7.69</v>
      </c>
      <c r="E35" s="39">
        <v>52</v>
      </c>
    </row>
    <row r="36" spans="1:5" x14ac:dyDescent="0.3">
      <c r="A36" s="39">
        <v>8</v>
      </c>
      <c r="B36" s="39" t="s">
        <v>87</v>
      </c>
      <c r="C36" s="39">
        <v>13</v>
      </c>
      <c r="D36" s="39">
        <v>7.43</v>
      </c>
      <c r="E36" s="39">
        <v>175</v>
      </c>
    </row>
    <row r="37" spans="1:5" x14ac:dyDescent="0.3">
      <c r="A37" s="39">
        <v>9</v>
      </c>
      <c r="B37" s="39" t="s">
        <v>88</v>
      </c>
      <c r="C37" s="39">
        <v>5</v>
      </c>
      <c r="D37" s="39">
        <v>7.25</v>
      </c>
      <c r="E37" s="39">
        <v>69</v>
      </c>
    </row>
    <row r="38" spans="1:5" x14ac:dyDescent="0.3">
      <c r="A38" s="39">
        <v>10</v>
      </c>
      <c r="B38" s="39" t="s">
        <v>89</v>
      </c>
      <c r="C38" s="39">
        <v>3</v>
      </c>
      <c r="D38" s="39">
        <v>7.14</v>
      </c>
      <c r="E38" s="39">
        <v>42</v>
      </c>
    </row>
    <row r="40" spans="1:5" x14ac:dyDescent="0.3">
      <c r="A40" t="s">
        <v>67</v>
      </c>
    </row>
    <row r="41" spans="1:5" x14ac:dyDescent="0.3">
      <c r="A41" s="39" t="s">
        <v>32</v>
      </c>
      <c r="B41" s="39" t="s">
        <v>33</v>
      </c>
      <c r="C41" s="39" t="s">
        <v>90</v>
      </c>
      <c r="D41" s="39" t="s">
        <v>91</v>
      </c>
      <c r="E41" s="39" t="s">
        <v>25</v>
      </c>
    </row>
    <row r="42" spans="1:5" x14ac:dyDescent="0.3">
      <c r="A42" s="39">
        <v>1</v>
      </c>
      <c r="B42" s="39" t="s">
        <v>27</v>
      </c>
      <c r="C42" s="39">
        <v>6</v>
      </c>
      <c r="D42" s="39">
        <v>46.15</v>
      </c>
      <c r="E42" s="39">
        <v>13</v>
      </c>
    </row>
    <row r="43" spans="1:5" x14ac:dyDescent="0.3">
      <c r="A43" s="39">
        <v>2</v>
      </c>
      <c r="B43" s="39" t="s">
        <v>69</v>
      </c>
      <c r="C43" s="39">
        <v>24</v>
      </c>
      <c r="D43" s="39">
        <v>27.91</v>
      </c>
      <c r="E43" s="39">
        <v>86</v>
      </c>
    </row>
    <row r="44" spans="1:5" x14ac:dyDescent="0.3">
      <c r="A44" s="39">
        <v>3</v>
      </c>
      <c r="B44" s="39" t="s">
        <v>92</v>
      </c>
      <c r="C44" s="39">
        <v>19</v>
      </c>
      <c r="D44" s="39">
        <v>20.88</v>
      </c>
      <c r="E44" s="39">
        <v>91</v>
      </c>
    </row>
    <row r="45" spans="1:5" x14ac:dyDescent="0.3">
      <c r="A45" s="39">
        <v>4</v>
      </c>
      <c r="B45" s="39" t="s">
        <v>93</v>
      </c>
      <c r="C45" s="39">
        <v>9</v>
      </c>
      <c r="D45" s="39">
        <v>19.57</v>
      </c>
      <c r="E45" s="39">
        <v>46</v>
      </c>
    </row>
    <row r="46" spans="1:5" x14ac:dyDescent="0.3">
      <c r="A46" s="39">
        <v>5</v>
      </c>
      <c r="B46" s="39" t="s">
        <v>94</v>
      </c>
      <c r="C46" s="39">
        <v>13</v>
      </c>
      <c r="D46" s="39">
        <v>16.05</v>
      </c>
      <c r="E46" s="39">
        <v>81</v>
      </c>
    </row>
    <row r="47" spans="1:5" x14ac:dyDescent="0.3">
      <c r="A47" s="39">
        <v>6</v>
      </c>
      <c r="B47" s="39" t="s">
        <v>95</v>
      </c>
      <c r="C47" s="39">
        <v>11</v>
      </c>
      <c r="D47" s="39">
        <v>15.07</v>
      </c>
      <c r="E47" s="39">
        <v>73</v>
      </c>
    </row>
    <row r="48" spans="1:5" x14ac:dyDescent="0.3">
      <c r="A48" s="39">
        <v>7</v>
      </c>
      <c r="B48" s="39" t="s">
        <v>68</v>
      </c>
      <c r="C48" s="39">
        <v>28</v>
      </c>
      <c r="D48" s="39">
        <v>14.51</v>
      </c>
      <c r="E48" s="39">
        <v>193</v>
      </c>
    </row>
    <row r="49" spans="1:5" x14ac:dyDescent="0.3">
      <c r="A49" s="39">
        <v>8</v>
      </c>
      <c r="B49" s="39" t="s">
        <v>96</v>
      </c>
      <c r="C49" s="39">
        <v>7</v>
      </c>
      <c r="D49" s="39">
        <v>13.73</v>
      </c>
      <c r="E49" s="39">
        <v>51</v>
      </c>
    </row>
    <row r="50" spans="1:5" x14ac:dyDescent="0.3">
      <c r="A50" s="39">
        <v>9</v>
      </c>
      <c r="B50" s="39" t="s">
        <v>97</v>
      </c>
      <c r="C50" s="39">
        <v>12</v>
      </c>
      <c r="D50" s="39">
        <v>13.33</v>
      </c>
      <c r="E50" s="39">
        <v>90</v>
      </c>
    </row>
    <row r="51" spans="1:5" x14ac:dyDescent="0.3">
      <c r="A51" s="39">
        <v>10</v>
      </c>
      <c r="B51" s="39" t="s">
        <v>98</v>
      </c>
      <c r="C51" s="39">
        <v>1</v>
      </c>
      <c r="D51" s="39">
        <v>12.5</v>
      </c>
      <c r="E51" s="39">
        <v>8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A179-8EF0-4F86-8FDF-DEEAB77F8AA9}">
  <dimension ref="A1:X141"/>
  <sheetViews>
    <sheetView tabSelected="1" topLeftCell="A24" workbookViewId="0">
      <selection activeCell="H14" sqref="H14"/>
    </sheetView>
  </sheetViews>
  <sheetFormatPr defaultRowHeight="14.4" x14ac:dyDescent="0.3"/>
  <cols>
    <col min="1" max="1" width="31.21875" customWidth="1"/>
  </cols>
  <sheetData>
    <row r="1" spans="1:24" ht="15.6" x14ac:dyDescent="0.3">
      <c r="A1" s="55" t="s">
        <v>106</v>
      </c>
      <c r="B1" s="55" t="s">
        <v>107</v>
      </c>
      <c r="C1" s="55" t="s">
        <v>108</v>
      </c>
      <c r="D1" s="55" t="s">
        <v>109</v>
      </c>
      <c r="E1" s="55" t="s">
        <v>110</v>
      </c>
      <c r="F1" s="55" t="s">
        <v>111</v>
      </c>
      <c r="G1" s="55" t="s">
        <v>112</v>
      </c>
      <c r="H1" s="55" t="s">
        <v>113</v>
      </c>
      <c r="I1" s="55" t="s">
        <v>114</v>
      </c>
      <c r="J1" s="55" t="s">
        <v>115</v>
      </c>
      <c r="K1" s="55" t="s">
        <v>116</v>
      </c>
      <c r="L1" s="55" t="s">
        <v>117</v>
      </c>
      <c r="M1" s="55" t="s">
        <v>118</v>
      </c>
      <c r="N1" s="55" t="s">
        <v>119</v>
      </c>
      <c r="O1" s="55" t="s">
        <v>120</v>
      </c>
      <c r="P1" s="55" t="s">
        <v>121</v>
      </c>
      <c r="Q1" s="55" t="s">
        <v>122</v>
      </c>
      <c r="R1" s="55" t="s">
        <v>123</v>
      </c>
      <c r="S1" s="55" t="s">
        <v>124</v>
      </c>
      <c r="T1" s="55" t="s">
        <v>125</v>
      </c>
      <c r="U1" s="55" t="s">
        <v>126</v>
      </c>
      <c r="V1" s="55" t="s">
        <v>127</v>
      </c>
      <c r="W1" s="56" t="s">
        <v>128</v>
      </c>
      <c r="X1" s="57" t="s">
        <v>129</v>
      </c>
    </row>
    <row r="2" spans="1:24" x14ac:dyDescent="0.3">
      <c r="A2" s="58" t="s">
        <v>130</v>
      </c>
      <c r="B2" s="59">
        <v>56</v>
      </c>
      <c r="C2" s="60">
        <v>93.33</v>
      </c>
      <c r="D2" s="61">
        <v>1</v>
      </c>
      <c r="E2" s="62">
        <v>1.67</v>
      </c>
      <c r="F2" s="63">
        <v>3</v>
      </c>
      <c r="G2" s="64">
        <v>5</v>
      </c>
      <c r="H2" s="65">
        <v>0</v>
      </c>
      <c r="I2" s="66">
        <v>0</v>
      </c>
      <c r="J2" s="67">
        <v>0</v>
      </c>
      <c r="K2" s="68">
        <v>0</v>
      </c>
      <c r="L2" s="69">
        <v>0</v>
      </c>
      <c r="M2" s="70">
        <v>0</v>
      </c>
      <c r="N2" s="71">
        <v>0</v>
      </c>
      <c r="O2" s="72">
        <v>0</v>
      </c>
      <c r="P2" s="73">
        <v>0</v>
      </c>
      <c r="Q2" s="74">
        <v>0</v>
      </c>
      <c r="R2" s="75">
        <v>0</v>
      </c>
      <c r="S2" s="76">
        <v>0</v>
      </c>
      <c r="T2" s="77">
        <v>0</v>
      </c>
      <c r="U2" s="78">
        <v>0</v>
      </c>
      <c r="V2" s="79">
        <v>60</v>
      </c>
      <c r="W2" s="39">
        <v>6.8578361441747804</v>
      </c>
      <c r="X2" s="39">
        <v>79.863120937554797</v>
      </c>
    </row>
    <row r="3" spans="1:24" x14ac:dyDescent="0.3">
      <c r="A3" s="58" t="s">
        <v>131</v>
      </c>
      <c r="B3" s="59">
        <v>88</v>
      </c>
      <c r="C3" s="60">
        <v>98.88</v>
      </c>
      <c r="D3" s="61">
        <v>1</v>
      </c>
      <c r="E3" s="62">
        <v>1.1200000000000001</v>
      </c>
      <c r="F3" s="63">
        <v>0</v>
      </c>
      <c r="G3" s="64">
        <v>0</v>
      </c>
      <c r="H3" s="65">
        <v>0</v>
      </c>
      <c r="I3" s="66">
        <v>0</v>
      </c>
      <c r="J3" s="67">
        <v>0</v>
      </c>
      <c r="K3" s="68">
        <v>0</v>
      </c>
      <c r="L3" s="69">
        <v>0</v>
      </c>
      <c r="M3" s="70">
        <v>0</v>
      </c>
      <c r="N3" s="71">
        <v>0</v>
      </c>
      <c r="O3" s="72">
        <v>0</v>
      </c>
      <c r="P3" s="73">
        <v>0</v>
      </c>
      <c r="Q3" s="74">
        <v>0</v>
      </c>
      <c r="R3" s="75">
        <v>0</v>
      </c>
      <c r="S3" s="76">
        <v>0</v>
      </c>
      <c r="T3" s="77">
        <v>0</v>
      </c>
      <c r="U3" s="78">
        <v>0</v>
      </c>
      <c r="V3" s="79">
        <v>89</v>
      </c>
      <c r="W3" s="39">
        <v>6.8578361441747804</v>
      </c>
      <c r="X3" s="39">
        <v>79.863120937554797</v>
      </c>
    </row>
    <row r="4" spans="1:24" x14ac:dyDescent="0.3">
      <c r="A4" s="58" t="s">
        <v>132</v>
      </c>
      <c r="B4" s="59">
        <v>64</v>
      </c>
      <c r="C4" s="60">
        <v>86.49</v>
      </c>
      <c r="D4" s="61">
        <v>4</v>
      </c>
      <c r="E4" s="62">
        <v>5.41</v>
      </c>
      <c r="F4" s="63">
        <v>5</v>
      </c>
      <c r="G4" s="64">
        <v>6.76</v>
      </c>
      <c r="H4" s="65">
        <v>0</v>
      </c>
      <c r="I4" s="66">
        <v>0</v>
      </c>
      <c r="J4" s="67">
        <v>0</v>
      </c>
      <c r="K4" s="68">
        <v>0</v>
      </c>
      <c r="L4" s="69">
        <v>0</v>
      </c>
      <c r="M4" s="70">
        <v>0</v>
      </c>
      <c r="N4" s="71">
        <v>0</v>
      </c>
      <c r="O4" s="72">
        <v>0</v>
      </c>
      <c r="P4" s="73">
        <v>0</v>
      </c>
      <c r="Q4" s="74">
        <v>0</v>
      </c>
      <c r="R4" s="75">
        <v>1</v>
      </c>
      <c r="S4" s="76">
        <v>1.35</v>
      </c>
      <c r="T4" s="77">
        <v>0</v>
      </c>
      <c r="U4" s="78">
        <v>0</v>
      </c>
      <c r="V4" s="79">
        <v>74</v>
      </c>
      <c r="W4" s="39">
        <v>6.8585818916021104</v>
      </c>
      <c r="X4" s="39">
        <v>79.862512571826599</v>
      </c>
    </row>
    <row r="5" spans="1:24" x14ac:dyDescent="0.3">
      <c r="A5" s="58" t="s">
        <v>133</v>
      </c>
      <c r="B5" s="59">
        <v>112</v>
      </c>
      <c r="C5" s="60">
        <v>90.32</v>
      </c>
      <c r="D5" s="61">
        <v>7</v>
      </c>
      <c r="E5" s="62">
        <v>5.65</v>
      </c>
      <c r="F5" s="63">
        <v>5</v>
      </c>
      <c r="G5" s="64">
        <v>4.03</v>
      </c>
      <c r="H5" s="65">
        <v>0</v>
      </c>
      <c r="I5" s="66">
        <v>0</v>
      </c>
      <c r="J5" s="67">
        <v>0</v>
      </c>
      <c r="K5" s="68">
        <v>0</v>
      </c>
      <c r="L5" s="69">
        <v>0</v>
      </c>
      <c r="M5" s="70">
        <v>0</v>
      </c>
      <c r="N5" s="71">
        <v>0</v>
      </c>
      <c r="O5" s="72">
        <v>0</v>
      </c>
      <c r="P5" s="73">
        <v>0</v>
      </c>
      <c r="Q5" s="74">
        <v>0</v>
      </c>
      <c r="R5" s="75">
        <v>0</v>
      </c>
      <c r="S5" s="76">
        <v>0</v>
      </c>
      <c r="T5" s="77">
        <v>0</v>
      </c>
      <c r="U5" s="78">
        <v>0</v>
      </c>
      <c r="V5" s="79">
        <v>124</v>
      </c>
      <c r="W5" s="39">
        <v>6.8585818916021104</v>
      </c>
      <c r="X5" s="39">
        <v>79.862512571826599</v>
      </c>
    </row>
    <row r="6" spans="1:24" x14ac:dyDescent="0.3">
      <c r="A6" s="58" t="s">
        <v>98</v>
      </c>
      <c r="B6" s="59">
        <v>7</v>
      </c>
      <c r="C6" s="60">
        <v>87.5</v>
      </c>
      <c r="D6" s="61">
        <v>0</v>
      </c>
      <c r="E6" s="62">
        <v>0</v>
      </c>
      <c r="F6" s="63">
        <v>1</v>
      </c>
      <c r="G6" s="64">
        <v>12.5</v>
      </c>
      <c r="H6" s="65">
        <v>0</v>
      </c>
      <c r="I6" s="66">
        <v>0</v>
      </c>
      <c r="J6" s="67">
        <v>0</v>
      </c>
      <c r="K6" s="68">
        <v>0</v>
      </c>
      <c r="L6" s="69">
        <v>0</v>
      </c>
      <c r="M6" s="70">
        <v>0</v>
      </c>
      <c r="N6" s="71">
        <v>0</v>
      </c>
      <c r="O6" s="72">
        <v>0</v>
      </c>
      <c r="P6" s="73">
        <v>0</v>
      </c>
      <c r="Q6" s="74">
        <v>0</v>
      </c>
      <c r="R6" s="75">
        <v>0</v>
      </c>
      <c r="S6" s="76">
        <v>0</v>
      </c>
      <c r="T6" s="77">
        <v>0</v>
      </c>
      <c r="U6" s="78">
        <v>0</v>
      </c>
      <c r="V6" s="79">
        <v>8</v>
      </c>
      <c r="W6" s="39">
        <v>6.8482486541870999</v>
      </c>
      <c r="X6" s="39">
        <v>79.864105493538403</v>
      </c>
    </row>
    <row r="7" spans="1:24" x14ac:dyDescent="0.3">
      <c r="A7" s="58" t="s">
        <v>134</v>
      </c>
      <c r="B7" s="59">
        <v>29</v>
      </c>
      <c r="C7" s="60">
        <v>93.55</v>
      </c>
      <c r="D7" s="61">
        <v>1</v>
      </c>
      <c r="E7" s="62">
        <v>3.23</v>
      </c>
      <c r="F7" s="63">
        <v>1</v>
      </c>
      <c r="G7" s="64">
        <v>3.23</v>
      </c>
      <c r="H7" s="65">
        <v>0</v>
      </c>
      <c r="I7" s="66">
        <v>0</v>
      </c>
      <c r="J7" s="67">
        <v>0</v>
      </c>
      <c r="K7" s="68">
        <v>0</v>
      </c>
      <c r="L7" s="69">
        <v>0</v>
      </c>
      <c r="M7" s="70">
        <v>0</v>
      </c>
      <c r="N7" s="71">
        <v>0</v>
      </c>
      <c r="O7" s="72">
        <v>0</v>
      </c>
      <c r="P7" s="73">
        <v>0</v>
      </c>
      <c r="Q7" s="74">
        <v>0</v>
      </c>
      <c r="R7" s="75">
        <v>0</v>
      </c>
      <c r="S7" s="76">
        <v>0</v>
      </c>
      <c r="T7" s="77">
        <v>0</v>
      </c>
      <c r="U7" s="78">
        <v>0</v>
      </c>
      <c r="V7" s="79">
        <v>31</v>
      </c>
      <c r="W7">
        <v>6.8482486541870999</v>
      </c>
      <c r="X7" s="39">
        <v>79.864105493538403</v>
      </c>
    </row>
    <row r="8" spans="1:24" x14ac:dyDescent="0.3">
      <c r="A8" s="58" t="s">
        <v>135</v>
      </c>
      <c r="B8" s="59">
        <v>15</v>
      </c>
      <c r="C8" s="60">
        <v>62.5</v>
      </c>
      <c r="D8" s="61">
        <v>2</v>
      </c>
      <c r="E8" s="62">
        <v>8.33</v>
      </c>
      <c r="F8" s="63">
        <v>7</v>
      </c>
      <c r="G8" s="64">
        <v>29.17</v>
      </c>
      <c r="H8" s="65">
        <v>0</v>
      </c>
      <c r="I8" s="66">
        <v>0</v>
      </c>
      <c r="J8" s="67">
        <v>0</v>
      </c>
      <c r="K8" s="68">
        <v>0</v>
      </c>
      <c r="L8" s="69">
        <v>0</v>
      </c>
      <c r="M8" s="70">
        <v>0</v>
      </c>
      <c r="N8" s="71">
        <v>0</v>
      </c>
      <c r="O8" s="72">
        <v>0</v>
      </c>
      <c r="P8" s="73">
        <v>0</v>
      </c>
      <c r="Q8" s="74">
        <v>0</v>
      </c>
      <c r="R8" s="75">
        <v>0</v>
      </c>
      <c r="S8" s="76">
        <v>0</v>
      </c>
      <c r="T8" s="77">
        <v>0</v>
      </c>
      <c r="U8" s="78">
        <v>0</v>
      </c>
      <c r="V8" s="79">
        <v>24</v>
      </c>
      <c r="W8" s="39">
        <v>6.8603486163134804</v>
      </c>
      <c r="X8" s="39">
        <v>79.8658259151415</v>
      </c>
    </row>
    <row r="9" spans="1:24" x14ac:dyDescent="0.3">
      <c r="A9" s="58" t="s">
        <v>136</v>
      </c>
      <c r="B9" s="59">
        <v>9</v>
      </c>
      <c r="C9" s="60">
        <v>90</v>
      </c>
      <c r="D9" s="61">
        <v>1</v>
      </c>
      <c r="E9" s="62">
        <v>10</v>
      </c>
      <c r="F9" s="63">
        <v>0</v>
      </c>
      <c r="G9" s="64">
        <v>0</v>
      </c>
      <c r="H9" s="65">
        <v>0</v>
      </c>
      <c r="I9" s="66">
        <v>0</v>
      </c>
      <c r="J9" s="67">
        <v>0</v>
      </c>
      <c r="K9" s="68">
        <v>0</v>
      </c>
      <c r="L9" s="69">
        <v>0</v>
      </c>
      <c r="M9" s="70">
        <v>0</v>
      </c>
      <c r="N9" s="71">
        <v>0</v>
      </c>
      <c r="O9" s="72">
        <v>0</v>
      </c>
      <c r="P9" s="73">
        <v>0</v>
      </c>
      <c r="Q9" s="74">
        <v>0</v>
      </c>
      <c r="R9" s="75">
        <v>0</v>
      </c>
      <c r="S9" s="76">
        <v>0</v>
      </c>
      <c r="T9" s="77">
        <v>0</v>
      </c>
      <c r="U9" s="78">
        <v>0</v>
      </c>
      <c r="V9" s="79">
        <v>10</v>
      </c>
      <c r="W9" s="39">
        <v>6.8603486163134804</v>
      </c>
      <c r="X9" s="39">
        <v>79.8658259151415</v>
      </c>
    </row>
    <row r="10" spans="1:24" x14ac:dyDescent="0.3">
      <c r="A10" s="58" t="s">
        <v>137</v>
      </c>
      <c r="B10" s="59">
        <v>15</v>
      </c>
      <c r="C10" s="60">
        <v>55.56</v>
      </c>
      <c r="D10" s="61">
        <v>9</v>
      </c>
      <c r="E10" s="62">
        <v>33.33</v>
      </c>
      <c r="F10" s="63">
        <v>2</v>
      </c>
      <c r="G10" s="64">
        <v>7.41</v>
      </c>
      <c r="H10" s="65">
        <v>0</v>
      </c>
      <c r="I10" s="66">
        <v>0</v>
      </c>
      <c r="J10" s="67">
        <v>0</v>
      </c>
      <c r="K10" s="68">
        <v>0</v>
      </c>
      <c r="L10" s="69">
        <v>0</v>
      </c>
      <c r="M10" s="70">
        <v>0</v>
      </c>
      <c r="N10" s="71">
        <v>0</v>
      </c>
      <c r="O10" s="72">
        <v>0</v>
      </c>
      <c r="P10" s="73">
        <v>0</v>
      </c>
      <c r="Q10" s="74">
        <v>0</v>
      </c>
      <c r="R10" s="75">
        <v>1</v>
      </c>
      <c r="S10" s="76">
        <v>3.7</v>
      </c>
      <c r="T10" s="77">
        <v>0</v>
      </c>
      <c r="U10" s="78">
        <v>0</v>
      </c>
      <c r="V10" s="79">
        <v>27</v>
      </c>
      <c r="W10" s="39">
        <v>6.8604963982771396</v>
      </c>
      <c r="X10" s="39">
        <v>79.867626027525105</v>
      </c>
    </row>
    <row r="11" spans="1:24" x14ac:dyDescent="0.3">
      <c r="A11" s="58" t="s">
        <v>138</v>
      </c>
      <c r="B11" s="59">
        <v>41</v>
      </c>
      <c r="C11" s="60">
        <v>91.11</v>
      </c>
      <c r="D11" s="61">
        <v>0</v>
      </c>
      <c r="E11" s="62">
        <v>0</v>
      </c>
      <c r="F11" s="63">
        <v>4</v>
      </c>
      <c r="G11" s="64">
        <v>8.89</v>
      </c>
      <c r="H11" s="65">
        <v>0</v>
      </c>
      <c r="I11" s="66">
        <v>0</v>
      </c>
      <c r="J11" s="67">
        <v>0</v>
      </c>
      <c r="K11" s="68">
        <v>0</v>
      </c>
      <c r="L11" s="69">
        <v>0</v>
      </c>
      <c r="M11" s="70">
        <v>0</v>
      </c>
      <c r="N11" s="71">
        <v>0</v>
      </c>
      <c r="O11" s="72">
        <v>0</v>
      </c>
      <c r="P11" s="73">
        <v>0</v>
      </c>
      <c r="Q11" s="74">
        <v>0</v>
      </c>
      <c r="R11" s="75">
        <v>0</v>
      </c>
      <c r="S11" s="76">
        <v>0</v>
      </c>
      <c r="T11" s="77">
        <v>0</v>
      </c>
      <c r="U11" s="78">
        <v>0</v>
      </c>
      <c r="V11" s="79">
        <v>45</v>
      </c>
      <c r="W11" s="39">
        <v>6.8603486163134804</v>
      </c>
      <c r="X11" s="39">
        <v>79.8658259151415</v>
      </c>
    </row>
    <row r="12" spans="1:24" x14ac:dyDescent="0.3">
      <c r="A12" s="58" t="s">
        <v>139</v>
      </c>
      <c r="B12" s="59">
        <v>36</v>
      </c>
      <c r="C12" s="60">
        <v>85.71</v>
      </c>
      <c r="D12" s="61">
        <v>0</v>
      </c>
      <c r="E12" s="62">
        <v>0</v>
      </c>
      <c r="F12" s="63">
        <v>6</v>
      </c>
      <c r="G12" s="64">
        <v>14.29</v>
      </c>
      <c r="H12" s="65">
        <v>0</v>
      </c>
      <c r="I12" s="66">
        <v>0</v>
      </c>
      <c r="J12" s="67">
        <v>0</v>
      </c>
      <c r="K12" s="68">
        <v>0</v>
      </c>
      <c r="L12" s="69">
        <v>0</v>
      </c>
      <c r="M12" s="70">
        <v>0</v>
      </c>
      <c r="N12" s="71">
        <v>0</v>
      </c>
      <c r="O12" s="72">
        <v>0</v>
      </c>
      <c r="P12" s="73">
        <v>0</v>
      </c>
      <c r="Q12" s="74">
        <v>0</v>
      </c>
      <c r="R12" s="75">
        <v>0</v>
      </c>
      <c r="S12" s="76">
        <v>0</v>
      </c>
      <c r="T12" s="77">
        <v>0</v>
      </c>
      <c r="U12" s="78">
        <v>0</v>
      </c>
      <c r="V12" s="79">
        <v>42</v>
      </c>
      <c r="W12" s="39">
        <v>6.8603486163134804</v>
      </c>
      <c r="X12" s="39">
        <v>79.8658259151415</v>
      </c>
    </row>
    <row r="13" spans="1:24" x14ac:dyDescent="0.3">
      <c r="A13" s="58" t="s">
        <v>87</v>
      </c>
      <c r="B13" s="59">
        <v>127</v>
      </c>
      <c r="C13" s="60">
        <v>72.569999999999993</v>
      </c>
      <c r="D13" s="61">
        <v>13</v>
      </c>
      <c r="E13" s="62">
        <v>7.43</v>
      </c>
      <c r="F13" s="63">
        <v>4</v>
      </c>
      <c r="G13" s="64">
        <v>2.29</v>
      </c>
      <c r="H13" s="65">
        <v>0</v>
      </c>
      <c r="I13" s="66">
        <v>0</v>
      </c>
      <c r="J13" s="67">
        <v>0</v>
      </c>
      <c r="K13" s="68">
        <v>0</v>
      </c>
      <c r="L13" s="69">
        <v>0</v>
      </c>
      <c r="M13" s="70">
        <v>0</v>
      </c>
      <c r="N13" s="71">
        <v>0</v>
      </c>
      <c r="O13" s="72">
        <v>0</v>
      </c>
      <c r="P13" s="73">
        <v>0</v>
      </c>
      <c r="Q13" s="74">
        <v>0</v>
      </c>
      <c r="R13" s="75">
        <v>31</v>
      </c>
      <c r="S13" s="76">
        <v>17.71</v>
      </c>
      <c r="T13" s="77">
        <v>0</v>
      </c>
      <c r="U13" s="78">
        <v>0</v>
      </c>
      <c r="V13" s="79">
        <v>175</v>
      </c>
      <c r="W13" s="39">
        <v>6.8425673029934204</v>
      </c>
      <c r="X13" s="39">
        <v>79.864772670500699</v>
      </c>
    </row>
    <row r="14" spans="1:24" x14ac:dyDescent="0.3">
      <c r="A14" s="58" t="s">
        <v>140</v>
      </c>
      <c r="B14" s="59">
        <v>59</v>
      </c>
      <c r="C14" s="60">
        <v>84.29</v>
      </c>
      <c r="D14" s="61">
        <v>2</v>
      </c>
      <c r="E14" s="62">
        <v>2.86</v>
      </c>
      <c r="F14" s="63">
        <v>5</v>
      </c>
      <c r="G14" s="64">
        <v>7.14</v>
      </c>
      <c r="H14" s="65">
        <v>0</v>
      </c>
      <c r="I14" s="66">
        <v>0</v>
      </c>
      <c r="J14" s="67">
        <v>0</v>
      </c>
      <c r="K14" s="68">
        <v>0</v>
      </c>
      <c r="L14" s="69">
        <v>0</v>
      </c>
      <c r="M14" s="70">
        <v>0</v>
      </c>
      <c r="N14" s="71">
        <v>0</v>
      </c>
      <c r="O14" s="72">
        <v>0</v>
      </c>
      <c r="P14" s="73">
        <v>0</v>
      </c>
      <c r="Q14" s="74">
        <v>0</v>
      </c>
      <c r="R14" s="75">
        <v>4</v>
      </c>
      <c r="S14" s="76">
        <v>5.71</v>
      </c>
      <c r="T14" s="77">
        <v>0</v>
      </c>
      <c r="U14" s="78">
        <v>0</v>
      </c>
      <c r="V14" s="79">
        <v>70</v>
      </c>
      <c r="W14" s="39">
        <v>6.8425673029934204</v>
      </c>
      <c r="X14" s="39">
        <v>79.864772670500699</v>
      </c>
    </row>
    <row r="15" spans="1:24" x14ac:dyDescent="0.3">
      <c r="A15" s="58" t="s">
        <v>141</v>
      </c>
      <c r="B15" s="59">
        <v>98</v>
      </c>
      <c r="C15" s="60">
        <v>96.08</v>
      </c>
      <c r="D15" s="61">
        <v>0</v>
      </c>
      <c r="E15" s="62">
        <v>0</v>
      </c>
      <c r="F15" s="63">
        <v>3</v>
      </c>
      <c r="G15" s="64">
        <v>2.94</v>
      </c>
      <c r="H15" s="65">
        <v>0</v>
      </c>
      <c r="I15" s="66">
        <v>0</v>
      </c>
      <c r="J15" s="67">
        <v>1</v>
      </c>
      <c r="K15" s="68">
        <v>0.98</v>
      </c>
      <c r="L15" s="69">
        <v>0</v>
      </c>
      <c r="M15" s="70">
        <v>0</v>
      </c>
      <c r="N15" s="71">
        <v>0</v>
      </c>
      <c r="O15" s="72">
        <v>0</v>
      </c>
      <c r="P15" s="73">
        <v>0</v>
      </c>
      <c r="Q15" s="74">
        <v>0</v>
      </c>
      <c r="R15" s="75">
        <v>0</v>
      </c>
      <c r="S15" s="76">
        <v>0</v>
      </c>
      <c r="T15" s="77">
        <v>0</v>
      </c>
      <c r="U15" s="78">
        <v>0</v>
      </c>
      <c r="V15" s="79">
        <v>102</v>
      </c>
      <c r="W15" s="39">
        <v>6.8581959957168399</v>
      </c>
      <c r="X15" s="39">
        <v>79.862530577994406</v>
      </c>
    </row>
    <row r="16" spans="1:24" x14ac:dyDescent="0.3">
      <c r="A16" s="58" t="s">
        <v>142</v>
      </c>
      <c r="B16" s="59">
        <v>50</v>
      </c>
      <c r="C16" s="60">
        <v>90.91</v>
      </c>
      <c r="D16" s="61">
        <v>4</v>
      </c>
      <c r="E16" s="62">
        <v>7.27</v>
      </c>
      <c r="F16" s="63">
        <v>1</v>
      </c>
      <c r="G16" s="64">
        <v>1.82</v>
      </c>
      <c r="H16" s="65">
        <v>0</v>
      </c>
      <c r="I16" s="66">
        <v>0</v>
      </c>
      <c r="J16" s="67">
        <v>0</v>
      </c>
      <c r="K16" s="68">
        <v>0</v>
      </c>
      <c r="L16" s="69">
        <v>0</v>
      </c>
      <c r="M16" s="70">
        <v>0</v>
      </c>
      <c r="N16" s="71">
        <v>0</v>
      </c>
      <c r="O16" s="72">
        <v>0</v>
      </c>
      <c r="P16" s="73">
        <v>0</v>
      </c>
      <c r="Q16" s="74">
        <v>0</v>
      </c>
      <c r="R16" s="75">
        <v>0</v>
      </c>
      <c r="S16" s="76">
        <v>0</v>
      </c>
      <c r="T16" s="77">
        <v>0</v>
      </c>
      <c r="U16" s="78">
        <v>0</v>
      </c>
      <c r="V16" s="79">
        <v>55</v>
      </c>
      <c r="W16" s="39">
        <v>6.8581959957168399</v>
      </c>
      <c r="X16" s="39">
        <v>79.862530577994406</v>
      </c>
    </row>
    <row r="17" spans="1:24" x14ac:dyDescent="0.3">
      <c r="A17" s="58" t="s">
        <v>83</v>
      </c>
      <c r="B17" s="59">
        <v>17</v>
      </c>
      <c r="C17" s="60">
        <v>70.83</v>
      </c>
      <c r="D17" s="61">
        <v>4</v>
      </c>
      <c r="E17" s="62">
        <v>16.670000000000002</v>
      </c>
      <c r="F17" s="63">
        <v>3</v>
      </c>
      <c r="G17" s="64">
        <v>12.5</v>
      </c>
      <c r="H17" s="65">
        <v>0</v>
      </c>
      <c r="I17" s="66">
        <v>0</v>
      </c>
      <c r="J17" s="67">
        <v>0</v>
      </c>
      <c r="K17" s="68">
        <v>0</v>
      </c>
      <c r="L17" s="69">
        <v>0</v>
      </c>
      <c r="M17" s="70">
        <v>0</v>
      </c>
      <c r="N17" s="71">
        <v>0</v>
      </c>
      <c r="O17" s="72">
        <v>0</v>
      </c>
      <c r="P17" s="73">
        <v>0</v>
      </c>
      <c r="Q17" s="74">
        <v>0</v>
      </c>
      <c r="R17" s="75">
        <v>0</v>
      </c>
      <c r="S17" s="76">
        <v>0</v>
      </c>
      <c r="T17" s="77">
        <v>0</v>
      </c>
      <c r="U17" s="78">
        <v>0</v>
      </c>
      <c r="V17" s="79">
        <v>24</v>
      </c>
      <c r="W17" s="39">
        <v>6.8329357498264596</v>
      </c>
      <c r="X17" s="39">
        <v>79.8683394523229</v>
      </c>
    </row>
    <row r="18" spans="1:24" x14ac:dyDescent="0.3">
      <c r="A18" s="58" t="s">
        <v>143</v>
      </c>
      <c r="B18" s="59">
        <v>49</v>
      </c>
      <c r="C18" s="60">
        <v>84.48</v>
      </c>
      <c r="D18" s="61">
        <v>3</v>
      </c>
      <c r="E18" s="62">
        <v>5.17</v>
      </c>
      <c r="F18" s="63">
        <v>6</v>
      </c>
      <c r="G18" s="64">
        <v>10.34</v>
      </c>
      <c r="H18" s="65">
        <v>0</v>
      </c>
      <c r="I18" s="66">
        <v>0</v>
      </c>
      <c r="J18" s="67">
        <v>0</v>
      </c>
      <c r="K18" s="68">
        <v>0</v>
      </c>
      <c r="L18" s="69">
        <v>0</v>
      </c>
      <c r="M18" s="70">
        <v>0</v>
      </c>
      <c r="N18" s="71">
        <v>0</v>
      </c>
      <c r="O18" s="72">
        <v>0</v>
      </c>
      <c r="P18" s="73">
        <v>0</v>
      </c>
      <c r="Q18" s="74">
        <v>0</v>
      </c>
      <c r="R18" s="75">
        <v>0</v>
      </c>
      <c r="S18" s="76">
        <v>0</v>
      </c>
      <c r="T18" s="77">
        <v>0</v>
      </c>
      <c r="U18" s="78">
        <v>0</v>
      </c>
      <c r="V18" s="79">
        <v>58</v>
      </c>
      <c r="W18" s="39">
        <v>6.8329357498264596</v>
      </c>
      <c r="X18" s="39">
        <v>79.8683394523229</v>
      </c>
    </row>
    <row r="19" spans="1:24" x14ac:dyDescent="0.3">
      <c r="A19" s="58" t="s">
        <v>85</v>
      </c>
      <c r="B19" s="59">
        <v>71</v>
      </c>
      <c r="C19" s="60">
        <v>84.52</v>
      </c>
      <c r="D19" s="61">
        <v>7</v>
      </c>
      <c r="E19" s="62">
        <v>8.33</v>
      </c>
      <c r="F19" s="63">
        <v>6</v>
      </c>
      <c r="G19" s="64">
        <v>7.14</v>
      </c>
      <c r="H19" s="65">
        <v>0</v>
      </c>
      <c r="I19" s="66">
        <v>0</v>
      </c>
      <c r="J19" s="67">
        <v>0</v>
      </c>
      <c r="K19" s="68">
        <v>0</v>
      </c>
      <c r="L19" s="69">
        <v>0</v>
      </c>
      <c r="M19" s="70">
        <v>0</v>
      </c>
      <c r="N19" s="71">
        <v>0</v>
      </c>
      <c r="O19" s="72">
        <v>0</v>
      </c>
      <c r="P19" s="73">
        <v>0</v>
      </c>
      <c r="Q19" s="74">
        <v>0</v>
      </c>
      <c r="R19" s="75">
        <v>0</v>
      </c>
      <c r="S19" s="76">
        <v>0</v>
      </c>
      <c r="T19" s="77">
        <v>0</v>
      </c>
      <c r="U19" s="78">
        <v>0</v>
      </c>
      <c r="V19" s="79">
        <v>84</v>
      </c>
      <c r="W19" s="39">
        <v>6.8354990666206596</v>
      </c>
      <c r="X19" s="39">
        <v>79.869224088747202</v>
      </c>
    </row>
    <row r="20" spans="1:24" x14ac:dyDescent="0.3">
      <c r="A20" s="58" t="s">
        <v>144</v>
      </c>
      <c r="B20" s="59">
        <v>244</v>
      </c>
      <c r="C20" s="60">
        <v>90.71</v>
      </c>
      <c r="D20" s="61">
        <v>3</v>
      </c>
      <c r="E20" s="62">
        <v>1.1200000000000001</v>
      </c>
      <c r="F20" s="63">
        <v>21</v>
      </c>
      <c r="G20" s="64">
        <v>7.81</v>
      </c>
      <c r="H20" s="65">
        <v>0</v>
      </c>
      <c r="I20" s="66">
        <v>0</v>
      </c>
      <c r="J20" s="67">
        <v>0</v>
      </c>
      <c r="K20" s="68">
        <v>0</v>
      </c>
      <c r="L20" s="69">
        <v>0</v>
      </c>
      <c r="M20" s="70">
        <v>0</v>
      </c>
      <c r="N20" s="71">
        <v>0</v>
      </c>
      <c r="O20" s="72">
        <v>0</v>
      </c>
      <c r="P20" s="73">
        <v>0</v>
      </c>
      <c r="Q20" s="74">
        <v>0</v>
      </c>
      <c r="R20" s="75">
        <v>0</v>
      </c>
      <c r="S20" s="76">
        <v>0</v>
      </c>
      <c r="T20" s="77">
        <v>1</v>
      </c>
      <c r="U20" s="78">
        <v>0.37</v>
      </c>
      <c r="V20" s="79">
        <v>269</v>
      </c>
      <c r="W20" s="39">
        <v>6.8354990666206596</v>
      </c>
      <c r="X20" s="39">
        <v>79.869224088747202</v>
      </c>
    </row>
    <row r="21" spans="1:24" x14ac:dyDescent="0.3">
      <c r="A21" s="58" t="s">
        <v>94</v>
      </c>
      <c r="B21" s="59">
        <v>66</v>
      </c>
      <c r="C21" s="60">
        <v>81.48</v>
      </c>
      <c r="D21" s="61">
        <v>2</v>
      </c>
      <c r="E21" s="62">
        <v>2.4700000000000002</v>
      </c>
      <c r="F21" s="63">
        <v>13</v>
      </c>
      <c r="G21" s="64">
        <v>16.05</v>
      </c>
      <c r="H21" s="65">
        <v>0</v>
      </c>
      <c r="I21" s="66">
        <v>0</v>
      </c>
      <c r="J21" s="67">
        <v>0</v>
      </c>
      <c r="K21" s="68">
        <v>0</v>
      </c>
      <c r="L21" s="69">
        <v>0</v>
      </c>
      <c r="M21" s="70">
        <v>0</v>
      </c>
      <c r="N21" s="71">
        <v>0</v>
      </c>
      <c r="O21" s="72">
        <v>0</v>
      </c>
      <c r="P21" s="73">
        <v>0</v>
      </c>
      <c r="Q21" s="74">
        <v>0</v>
      </c>
      <c r="R21" s="75">
        <v>0</v>
      </c>
      <c r="S21" s="76">
        <v>0</v>
      </c>
      <c r="T21" s="77">
        <v>0</v>
      </c>
      <c r="U21" s="78">
        <v>0</v>
      </c>
      <c r="V21" s="79">
        <v>81</v>
      </c>
      <c r="W21" s="39">
        <v>6.8334839342214</v>
      </c>
      <c r="X21" s="39">
        <v>79.870327942421</v>
      </c>
    </row>
    <row r="22" spans="1:24" x14ac:dyDescent="0.3">
      <c r="A22" s="58" t="s">
        <v>145</v>
      </c>
      <c r="B22" s="59">
        <v>45</v>
      </c>
      <c r="C22" s="60">
        <v>84.91</v>
      </c>
      <c r="D22" s="61">
        <v>3</v>
      </c>
      <c r="E22" s="62">
        <v>5.66</v>
      </c>
      <c r="F22" s="63">
        <v>5</v>
      </c>
      <c r="G22" s="64">
        <v>9.43</v>
      </c>
      <c r="H22" s="65">
        <v>0</v>
      </c>
      <c r="I22" s="66">
        <v>0</v>
      </c>
      <c r="J22" s="67">
        <v>0</v>
      </c>
      <c r="K22" s="68">
        <v>0</v>
      </c>
      <c r="L22" s="69">
        <v>0</v>
      </c>
      <c r="M22" s="70">
        <v>0</v>
      </c>
      <c r="N22" s="71">
        <v>0</v>
      </c>
      <c r="O22" s="72">
        <v>0</v>
      </c>
      <c r="P22" s="73">
        <v>0</v>
      </c>
      <c r="Q22" s="74">
        <v>0</v>
      </c>
      <c r="R22" s="75">
        <v>0</v>
      </c>
      <c r="S22" s="76">
        <v>0</v>
      </c>
      <c r="T22" s="77">
        <v>0</v>
      </c>
      <c r="U22" s="78">
        <v>0</v>
      </c>
      <c r="V22" s="79">
        <v>53</v>
      </c>
      <c r="W22" s="39">
        <v>6.8334839342214</v>
      </c>
      <c r="X22" s="39">
        <v>79.870327942421</v>
      </c>
    </row>
    <row r="23" spans="1:24" x14ac:dyDescent="0.3">
      <c r="A23" s="58" t="s">
        <v>27</v>
      </c>
      <c r="B23" s="59">
        <v>5</v>
      </c>
      <c r="C23" s="60">
        <v>38.46</v>
      </c>
      <c r="D23" s="61">
        <v>2</v>
      </c>
      <c r="E23" s="62">
        <v>15.38</v>
      </c>
      <c r="F23" s="63">
        <v>6</v>
      </c>
      <c r="G23" s="64">
        <v>46.15</v>
      </c>
      <c r="H23" s="65">
        <v>0</v>
      </c>
      <c r="I23" s="66">
        <v>0</v>
      </c>
      <c r="J23" s="67">
        <v>0</v>
      </c>
      <c r="K23" s="68">
        <v>0</v>
      </c>
      <c r="L23" s="69">
        <v>0</v>
      </c>
      <c r="M23" s="70">
        <v>0</v>
      </c>
      <c r="N23" s="71">
        <v>0</v>
      </c>
      <c r="O23" s="72">
        <v>0</v>
      </c>
      <c r="P23" s="73">
        <v>0</v>
      </c>
      <c r="Q23" s="74">
        <v>0</v>
      </c>
      <c r="R23" s="75">
        <v>0</v>
      </c>
      <c r="S23" s="76">
        <v>0</v>
      </c>
      <c r="T23" s="77">
        <v>0</v>
      </c>
      <c r="U23" s="78">
        <v>0</v>
      </c>
      <c r="V23" s="79">
        <v>13</v>
      </c>
      <c r="W23" s="39">
        <v>6.8352667000246701</v>
      </c>
      <c r="X23" s="39">
        <v>79.864531556216093</v>
      </c>
    </row>
    <row r="24" spans="1:24" x14ac:dyDescent="0.3">
      <c r="A24" s="58" t="s">
        <v>86</v>
      </c>
      <c r="B24" s="59">
        <v>42</v>
      </c>
      <c r="C24" s="60">
        <v>80.77</v>
      </c>
      <c r="D24" s="61">
        <v>4</v>
      </c>
      <c r="E24" s="62">
        <v>7.69</v>
      </c>
      <c r="F24" s="63">
        <v>6</v>
      </c>
      <c r="G24" s="64">
        <v>11.54</v>
      </c>
      <c r="H24" s="65">
        <v>0</v>
      </c>
      <c r="I24" s="66">
        <v>0</v>
      </c>
      <c r="J24" s="67">
        <v>0</v>
      </c>
      <c r="K24" s="68">
        <v>0</v>
      </c>
      <c r="L24" s="69">
        <v>0</v>
      </c>
      <c r="M24" s="70">
        <v>0</v>
      </c>
      <c r="N24" s="71">
        <v>0</v>
      </c>
      <c r="O24" s="72">
        <v>0</v>
      </c>
      <c r="P24" s="73">
        <v>0</v>
      </c>
      <c r="Q24" s="74">
        <v>0</v>
      </c>
      <c r="R24" s="75">
        <v>0</v>
      </c>
      <c r="S24" s="76">
        <v>0</v>
      </c>
      <c r="T24" s="77">
        <v>0</v>
      </c>
      <c r="U24" s="78">
        <v>0</v>
      </c>
      <c r="V24" s="79">
        <v>52</v>
      </c>
      <c r="W24" s="39">
        <v>6.8352667000246701</v>
      </c>
      <c r="X24" s="39">
        <v>79.864531556216093</v>
      </c>
    </row>
    <row r="25" spans="1:24" x14ac:dyDescent="0.3">
      <c r="A25" s="58" t="s">
        <v>146</v>
      </c>
      <c r="B25" s="59">
        <v>64</v>
      </c>
      <c r="C25" s="60">
        <v>90.14</v>
      </c>
      <c r="D25" s="61">
        <v>2</v>
      </c>
      <c r="E25" s="62">
        <v>2.82</v>
      </c>
      <c r="F25" s="63">
        <v>5</v>
      </c>
      <c r="G25" s="64">
        <v>7.04</v>
      </c>
      <c r="H25" s="65">
        <v>0</v>
      </c>
      <c r="I25" s="66">
        <v>0</v>
      </c>
      <c r="J25" s="67">
        <v>0</v>
      </c>
      <c r="K25" s="68">
        <v>0</v>
      </c>
      <c r="L25" s="69">
        <v>0</v>
      </c>
      <c r="M25" s="70">
        <v>0</v>
      </c>
      <c r="N25" s="71">
        <v>0</v>
      </c>
      <c r="O25" s="72">
        <v>0</v>
      </c>
      <c r="P25" s="73">
        <v>0</v>
      </c>
      <c r="Q25" s="74">
        <v>0</v>
      </c>
      <c r="R25" s="75">
        <v>0</v>
      </c>
      <c r="S25" s="76">
        <v>0</v>
      </c>
      <c r="T25" s="77">
        <v>0</v>
      </c>
      <c r="U25" s="78">
        <v>0</v>
      </c>
      <c r="V25" s="79">
        <v>71</v>
      </c>
      <c r="W25" s="39">
        <v>6.8614492820914599</v>
      </c>
      <c r="X25" s="39">
        <v>79.861968589488697</v>
      </c>
    </row>
    <row r="26" spans="1:24" x14ac:dyDescent="0.3">
      <c r="A26" s="58" t="s">
        <v>147</v>
      </c>
      <c r="B26" s="59">
        <v>209</v>
      </c>
      <c r="C26" s="60">
        <v>95.43</v>
      </c>
      <c r="D26" s="61">
        <v>6</v>
      </c>
      <c r="E26" s="62">
        <v>2.74</v>
      </c>
      <c r="F26" s="63">
        <v>2</v>
      </c>
      <c r="G26" s="64">
        <v>0.91</v>
      </c>
      <c r="H26" s="65">
        <v>0</v>
      </c>
      <c r="I26" s="66">
        <v>0</v>
      </c>
      <c r="J26" s="67">
        <v>2</v>
      </c>
      <c r="K26" s="68">
        <v>0.91</v>
      </c>
      <c r="L26" s="69">
        <v>0</v>
      </c>
      <c r="M26" s="70">
        <v>0</v>
      </c>
      <c r="N26" s="71">
        <v>0</v>
      </c>
      <c r="O26" s="72">
        <v>0</v>
      </c>
      <c r="P26" s="73">
        <v>0</v>
      </c>
      <c r="Q26" s="74">
        <v>0</v>
      </c>
      <c r="R26" s="75">
        <v>0</v>
      </c>
      <c r="S26" s="76">
        <v>0</v>
      </c>
      <c r="T26" s="77">
        <v>0</v>
      </c>
      <c r="U26" s="78">
        <v>0</v>
      </c>
      <c r="V26" s="79">
        <v>219</v>
      </c>
      <c r="W26" s="39">
        <v>6.8614492820914599</v>
      </c>
      <c r="X26" s="39">
        <v>79.861968589488697</v>
      </c>
    </row>
    <row r="27" spans="1:24" x14ac:dyDescent="0.3">
      <c r="A27" s="58" t="s">
        <v>148</v>
      </c>
      <c r="B27" s="59">
        <v>34</v>
      </c>
      <c r="C27" s="60">
        <v>94.44</v>
      </c>
      <c r="D27" s="61">
        <v>1</v>
      </c>
      <c r="E27" s="62">
        <v>2.78</v>
      </c>
      <c r="F27" s="63">
        <v>1</v>
      </c>
      <c r="G27" s="64">
        <v>2.78</v>
      </c>
      <c r="H27" s="65">
        <v>0</v>
      </c>
      <c r="I27" s="66">
        <v>0</v>
      </c>
      <c r="J27" s="67">
        <v>0</v>
      </c>
      <c r="K27" s="68">
        <v>0</v>
      </c>
      <c r="L27" s="69">
        <v>0</v>
      </c>
      <c r="M27" s="70">
        <v>0</v>
      </c>
      <c r="N27" s="71">
        <v>0</v>
      </c>
      <c r="O27" s="72">
        <v>0</v>
      </c>
      <c r="P27" s="73">
        <v>0</v>
      </c>
      <c r="Q27" s="74">
        <v>0</v>
      </c>
      <c r="R27" s="75">
        <v>0</v>
      </c>
      <c r="S27" s="76">
        <v>0</v>
      </c>
      <c r="T27" s="77">
        <v>0</v>
      </c>
      <c r="U27" s="78">
        <v>0</v>
      </c>
      <c r="V27" s="79">
        <v>36</v>
      </c>
      <c r="W27" s="39">
        <v>6.8495052999110104</v>
      </c>
      <c r="X27" s="39">
        <v>79.864638052373905</v>
      </c>
    </row>
    <row r="28" spans="1:24" x14ac:dyDescent="0.3">
      <c r="A28" s="58" t="s">
        <v>149</v>
      </c>
      <c r="B28" s="59">
        <v>43</v>
      </c>
      <c r="C28" s="60">
        <v>97.73</v>
      </c>
      <c r="D28" s="61">
        <v>1</v>
      </c>
      <c r="E28" s="62">
        <v>2.27</v>
      </c>
      <c r="F28" s="63">
        <v>0</v>
      </c>
      <c r="G28" s="64">
        <v>0</v>
      </c>
      <c r="H28" s="65">
        <v>0</v>
      </c>
      <c r="I28" s="66">
        <v>0</v>
      </c>
      <c r="J28" s="67">
        <v>0</v>
      </c>
      <c r="K28" s="68">
        <v>0</v>
      </c>
      <c r="L28" s="69">
        <v>0</v>
      </c>
      <c r="M28" s="70">
        <v>0</v>
      </c>
      <c r="N28" s="71">
        <v>0</v>
      </c>
      <c r="O28" s="72">
        <v>0</v>
      </c>
      <c r="P28" s="73">
        <v>0</v>
      </c>
      <c r="Q28" s="74">
        <v>0</v>
      </c>
      <c r="R28" s="75">
        <v>0</v>
      </c>
      <c r="S28" s="76">
        <v>0</v>
      </c>
      <c r="T28" s="77">
        <v>0</v>
      </c>
      <c r="U28" s="78">
        <v>0</v>
      </c>
      <c r="V28" s="79">
        <v>44</v>
      </c>
      <c r="W28" s="39">
        <v>6.8538877398208102</v>
      </c>
      <c r="X28" s="39">
        <v>79.863518543675596</v>
      </c>
    </row>
    <row r="29" spans="1:24" x14ac:dyDescent="0.3">
      <c r="A29" s="58" t="s">
        <v>81</v>
      </c>
      <c r="B29" s="59">
        <v>42</v>
      </c>
      <c r="C29" s="60">
        <v>95.45</v>
      </c>
      <c r="D29" s="61">
        <v>0</v>
      </c>
      <c r="E29" s="62">
        <v>0</v>
      </c>
      <c r="F29" s="63">
        <v>2</v>
      </c>
      <c r="G29" s="64">
        <v>4.55</v>
      </c>
      <c r="H29" s="65">
        <v>0</v>
      </c>
      <c r="I29" s="66">
        <v>0</v>
      </c>
      <c r="J29" s="67">
        <v>0</v>
      </c>
      <c r="K29" s="68">
        <v>0</v>
      </c>
      <c r="L29" s="69">
        <v>0</v>
      </c>
      <c r="M29" s="70">
        <v>0</v>
      </c>
      <c r="N29" s="71">
        <v>0</v>
      </c>
      <c r="O29" s="72">
        <v>0</v>
      </c>
      <c r="P29" s="73">
        <v>0</v>
      </c>
      <c r="Q29" s="74">
        <v>0</v>
      </c>
      <c r="R29" s="75">
        <v>0</v>
      </c>
      <c r="S29" s="76">
        <v>0</v>
      </c>
      <c r="T29" s="77">
        <v>0</v>
      </c>
      <c r="U29" s="78">
        <v>0</v>
      </c>
      <c r="V29" s="79">
        <v>44</v>
      </c>
      <c r="W29" s="39">
        <v>6.8300063068233596</v>
      </c>
      <c r="X29" s="39">
        <v>79.867089522128893</v>
      </c>
    </row>
    <row r="30" spans="1:24" x14ac:dyDescent="0.3">
      <c r="A30" s="58" t="s">
        <v>150</v>
      </c>
      <c r="B30" s="59">
        <v>9</v>
      </c>
      <c r="C30" s="60">
        <v>90</v>
      </c>
      <c r="D30" s="61">
        <v>0</v>
      </c>
      <c r="E30" s="62">
        <v>0</v>
      </c>
      <c r="F30" s="63">
        <v>1</v>
      </c>
      <c r="G30" s="64">
        <v>10</v>
      </c>
      <c r="H30" s="65">
        <v>0</v>
      </c>
      <c r="I30" s="66">
        <v>0</v>
      </c>
      <c r="J30" s="67">
        <v>0</v>
      </c>
      <c r="K30" s="68">
        <v>0</v>
      </c>
      <c r="L30" s="69">
        <v>0</v>
      </c>
      <c r="M30" s="70">
        <v>0</v>
      </c>
      <c r="N30" s="71">
        <v>0</v>
      </c>
      <c r="O30" s="72">
        <v>0</v>
      </c>
      <c r="P30" s="73">
        <v>0</v>
      </c>
      <c r="Q30" s="74">
        <v>0</v>
      </c>
      <c r="R30" s="75">
        <v>0</v>
      </c>
      <c r="S30" s="76">
        <v>0</v>
      </c>
      <c r="T30" s="77">
        <v>0</v>
      </c>
      <c r="U30" s="78">
        <v>0</v>
      </c>
      <c r="V30" s="79">
        <v>10</v>
      </c>
      <c r="W30" s="39">
        <v>6.8300063068233596</v>
      </c>
      <c r="X30" s="39">
        <v>79.867089522128893</v>
      </c>
    </row>
    <row r="31" spans="1:24" x14ac:dyDescent="0.3">
      <c r="A31" s="58" t="s">
        <v>151</v>
      </c>
      <c r="B31" s="59">
        <v>54</v>
      </c>
      <c r="C31" s="60">
        <v>84.38</v>
      </c>
      <c r="D31" s="61">
        <v>1</v>
      </c>
      <c r="E31" s="62">
        <v>1.56</v>
      </c>
      <c r="F31" s="63">
        <v>4</v>
      </c>
      <c r="G31" s="64">
        <v>6.25</v>
      </c>
      <c r="H31" s="65">
        <v>0</v>
      </c>
      <c r="I31" s="66">
        <v>0</v>
      </c>
      <c r="J31" s="67">
        <v>0</v>
      </c>
      <c r="K31" s="68">
        <v>0</v>
      </c>
      <c r="L31" s="69">
        <v>0</v>
      </c>
      <c r="M31" s="70">
        <v>0</v>
      </c>
      <c r="N31" s="71">
        <v>0</v>
      </c>
      <c r="O31" s="72">
        <v>0</v>
      </c>
      <c r="P31" s="73">
        <v>0</v>
      </c>
      <c r="Q31" s="74">
        <v>0</v>
      </c>
      <c r="R31" s="75">
        <v>5</v>
      </c>
      <c r="S31" s="76">
        <v>7.81</v>
      </c>
      <c r="T31" s="77">
        <v>0</v>
      </c>
      <c r="U31" s="78">
        <v>0</v>
      </c>
      <c r="V31" s="79">
        <v>64</v>
      </c>
      <c r="W31" s="39">
        <v>6.8608494416595498</v>
      </c>
      <c r="X31" s="39">
        <v>79.862408435781703</v>
      </c>
    </row>
    <row r="32" spans="1:24" x14ac:dyDescent="0.3">
      <c r="A32" s="58" t="s">
        <v>152</v>
      </c>
      <c r="B32" s="59">
        <v>145</v>
      </c>
      <c r="C32" s="60">
        <v>92.36</v>
      </c>
      <c r="D32" s="61">
        <v>9</v>
      </c>
      <c r="E32" s="62">
        <v>5.73</v>
      </c>
      <c r="F32" s="63">
        <v>2</v>
      </c>
      <c r="G32" s="64">
        <v>1.27</v>
      </c>
      <c r="H32" s="65">
        <v>0</v>
      </c>
      <c r="I32" s="66">
        <v>0</v>
      </c>
      <c r="J32" s="67">
        <v>0</v>
      </c>
      <c r="K32" s="68">
        <v>0</v>
      </c>
      <c r="L32" s="69">
        <v>0</v>
      </c>
      <c r="M32" s="70">
        <v>0</v>
      </c>
      <c r="N32" s="71">
        <v>0</v>
      </c>
      <c r="O32" s="72">
        <v>0</v>
      </c>
      <c r="P32" s="73">
        <v>0</v>
      </c>
      <c r="Q32" s="74">
        <v>0</v>
      </c>
      <c r="R32" s="75">
        <v>1</v>
      </c>
      <c r="S32" s="76">
        <v>0.64</v>
      </c>
      <c r="T32" s="77">
        <v>0</v>
      </c>
      <c r="U32" s="78">
        <v>0</v>
      </c>
      <c r="V32" s="79">
        <v>157</v>
      </c>
      <c r="W32" s="39">
        <v>6.8608494416595498</v>
      </c>
      <c r="X32" s="39">
        <v>79.862408435781703</v>
      </c>
    </row>
    <row r="33" spans="1:24" x14ac:dyDescent="0.3">
      <c r="A33" s="58" t="s">
        <v>153</v>
      </c>
      <c r="B33" s="59">
        <v>61</v>
      </c>
      <c r="C33" s="60">
        <v>89.71</v>
      </c>
      <c r="D33" s="61">
        <v>1</v>
      </c>
      <c r="E33" s="62">
        <v>1.47</v>
      </c>
      <c r="F33" s="63">
        <v>6</v>
      </c>
      <c r="G33" s="64">
        <v>8.82</v>
      </c>
      <c r="H33" s="65">
        <v>0</v>
      </c>
      <c r="I33" s="66">
        <v>0</v>
      </c>
      <c r="J33" s="67">
        <v>0</v>
      </c>
      <c r="K33" s="68">
        <v>0</v>
      </c>
      <c r="L33" s="69">
        <v>0</v>
      </c>
      <c r="M33" s="70">
        <v>0</v>
      </c>
      <c r="N33" s="71">
        <v>0</v>
      </c>
      <c r="O33" s="72">
        <v>0</v>
      </c>
      <c r="P33" s="73">
        <v>0</v>
      </c>
      <c r="Q33" s="74">
        <v>0</v>
      </c>
      <c r="R33" s="75">
        <v>0</v>
      </c>
      <c r="S33" s="76">
        <v>0</v>
      </c>
      <c r="T33" s="77">
        <v>0</v>
      </c>
      <c r="U33" s="78">
        <v>0</v>
      </c>
      <c r="V33" s="79">
        <v>68</v>
      </c>
      <c r="W33" s="39">
        <v>6.8286513158633602</v>
      </c>
      <c r="X33" s="39">
        <v>79.872186672511504</v>
      </c>
    </row>
    <row r="34" spans="1:24" x14ac:dyDescent="0.3">
      <c r="A34" s="58" t="s">
        <v>92</v>
      </c>
      <c r="B34" s="59">
        <v>68</v>
      </c>
      <c r="C34" s="60">
        <v>74.73</v>
      </c>
      <c r="D34" s="61">
        <v>4</v>
      </c>
      <c r="E34" s="62">
        <v>4.4000000000000004</v>
      </c>
      <c r="F34" s="63">
        <v>19</v>
      </c>
      <c r="G34" s="64">
        <v>20.88</v>
      </c>
      <c r="H34" s="65">
        <v>0</v>
      </c>
      <c r="I34" s="66">
        <v>0</v>
      </c>
      <c r="J34" s="67">
        <v>0</v>
      </c>
      <c r="K34" s="68">
        <v>0</v>
      </c>
      <c r="L34" s="69">
        <v>0</v>
      </c>
      <c r="M34" s="70">
        <v>0</v>
      </c>
      <c r="N34" s="71">
        <v>0</v>
      </c>
      <c r="O34" s="72">
        <v>0</v>
      </c>
      <c r="P34" s="73">
        <v>0</v>
      </c>
      <c r="Q34" s="74">
        <v>0</v>
      </c>
      <c r="R34" s="75">
        <v>0</v>
      </c>
      <c r="S34" s="76">
        <v>0</v>
      </c>
      <c r="T34" s="77">
        <v>0</v>
      </c>
      <c r="U34" s="78">
        <v>0</v>
      </c>
      <c r="V34" s="79">
        <v>91</v>
      </c>
      <c r="W34" s="39">
        <v>6.8286513158633602</v>
      </c>
      <c r="X34" s="39">
        <v>79.872186672511504</v>
      </c>
    </row>
    <row r="35" spans="1:24" x14ac:dyDescent="0.3">
      <c r="A35" s="58" t="s">
        <v>96</v>
      </c>
      <c r="B35" s="59">
        <v>44</v>
      </c>
      <c r="C35" s="60">
        <v>86.27</v>
      </c>
      <c r="D35" s="61">
        <v>0</v>
      </c>
      <c r="E35" s="62">
        <v>0</v>
      </c>
      <c r="F35" s="63">
        <v>7</v>
      </c>
      <c r="G35" s="64">
        <v>13.73</v>
      </c>
      <c r="H35" s="65">
        <v>0</v>
      </c>
      <c r="I35" s="66">
        <v>0</v>
      </c>
      <c r="J35" s="67">
        <v>0</v>
      </c>
      <c r="K35" s="68">
        <v>0</v>
      </c>
      <c r="L35" s="69">
        <v>0</v>
      </c>
      <c r="M35" s="70">
        <v>0</v>
      </c>
      <c r="N35" s="71">
        <v>0</v>
      </c>
      <c r="O35" s="72">
        <v>0</v>
      </c>
      <c r="P35" s="73">
        <v>0</v>
      </c>
      <c r="Q35" s="74">
        <v>0</v>
      </c>
      <c r="R35" s="75">
        <v>0</v>
      </c>
      <c r="S35" s="76">
        <v>0</v>
      </c>
      <c r="T35" s="77">
        <v>0</v>
      </c>
      <c r="U35" s="78">
        <v>0</v>
      </c>
      <c r="V35" s="79">
        <v>51</v>
      </c>
      <c r="W35" s="39">
        <v>6.8288759634303799</v>
      </c>
      <c r="X35" s="39">
        <v>79.8734529892767</v>
      </c>
    </row>
    <row r="36" spans="1:24" x14ac:dyDescent="0.3">
      <c r="A36" s="58" t="s">
        <v>26</v>
      </c>
      <c r="B36" s="59">
        <v>27</v>
      </c>
      <c r="C36" s="60">
        <v>100</v>
      </c>
      <c r="D36" s="61">
        <v>0</v>
      </c>
      <c r="E36" s="62">
        <v>0</v>
      </c>
      <c r="F36" s="63">
        <v>0</v>
      </c>
      <c r="G36" s="64">
        <v>0</v>
      </c>
      <c r="H36" s="65">
        <v>0</v>
      </c>
      <c r="I36" s="66">
        <v>0</v>
      </c>
      <c r="J36" s="67">
        <v>0</v>
      </c>
      <c r="K36" s="68">
        <v>0</v>
      </c>
      <c r="L36" s="69">
        <v>0</v>
      </c>
      <c r="M36" s="70">
        <v>0</v>
      </c>
      <c r="N36" s="71">
        <v>0</v>
      </c>
      <c r="O36" s="72">
        <v>0</v>
      </c>
      <c r="P36" s="73">
        <v>0</v>
      </c>
      <c r="Q36" s="74">
        <v>0</v>
      </c>
      <c r="R36" s="75">
        <v>0</v>
      </c>
      <c r="S36" s="76">
        <v>0</v>
      </c>
      <c r="T36" s="77">
        <v>0</v>
      </c>
      <c r="U36" s="78">
        <v>0</v>
      </c>
      <c r="V36" s="79">
        <v>27</v>
      </c>
      <c r="W36" s="39">
        <v>6.8288759634303799</v>
      </c>
      <c r="X36" s="39">
        <v>79.8734529892767</v>
      </c>
    </row>
    <row r="37" spans="1:24" x14ac:dyDescent="0.3">
      <c r="A37" s="58" t="s">
        <v>154</v>
      </c>
      <c r="B37" s="59">
        <v>173</v>
      </c>
      <c r="C37" s="60">
        <v>84.8</v>
      </c>
      <c r="D37" s="61">
        <v>9</v>
      </c>
      <c r="E37" s="62">
        <v>4.41</v>
      </c>
      <c r="F37" s="63">
        <v>21</v>
      </c>
      <c r="G37" s="64">
        <v>10.29</v>
      </c>
      <c r="H37" s="65">
        <v>0</v>
      </c>
      <c r="I37" s="66">
        <v>0</v>
      </c>
      <c r="J37" s="67">
        <v>0</v>
      </c>
      <c r="K37" s="68">
        <v>0</v>
      </c>
      <c r="L37" s="69">
        <v>0</v>
      </c>
      <c r="M37" s="70">
        <v>0</v>
      </c>
      <c r="N37" s="71">
        <v>0</v>
      </c>
      <c r="O37" s="72">
        <v>0</v>
      </c>
      <c r="P37" s="73">
        <v>0</v>
      </c>
      <c r="Q37" s="74">
        <v>0</v>
      </c>
      <c r="R37" s="75">
        <v>1</v>
      </c>
      <c r="S37" s="76">
        <v>0.49</v>
      </c>
      <c r="T37" s="77">
        <v>0</v>
      </c>
      <c r="U37" s="78">
        <v>0</v>
      </c>
      <c r="V37" s="79">
        <v>204</v>
      </c>
      <c r="W37" s="39">
        <v>6.8286513158633602</v>
      </c>
      <c r="X37" s="39">
        <v>79.872186672511504</v>
      </c>
    </row>
    <row r="38" spans="1:24" x14ac:dyDescent="0.3">
      <c r="A38" s="58" t="s">
        <v>155</v>
      </c>
      <c r="B38" s="59">
        <v>169</v>
      </c>
      <c r="C38" s="60">
        <v>88.95</v>
      </c>
      <c r="D38" s="61">
        <v>4</v>
      </c>
      <c r="E38" s="62">
        <v>2.11</v>
      </c>
      <c r="F38" s="63">
        <v>17</v>
      </c>
      <c r="G38" s="64">
        <v>8.9499999999999993</v>
      </c>
      <c r="H38" s="65">
        <v>0</v>
      </c>
      <c r="I38" s="66">
        <v>0</v>
      </c>
      <c r="J38" s="67">
        <v>0</v>
      </c>
      <c r="K38" s="68">
        <v>0</v>
      </c>
      <c r="L38" s="69">
        <v>0</v>
      </c>
      <c r="M38" s="70">
        <v>0</v>
      </c>
      <c r="N38" s="71">
        <v>0</v>
      </c>
      <c r="O38" s="72">
        <v>0</v>
      </c>
      <c r="P38" s="73">
        <v>0</v>
      </c>
      <c r="Q38" s="74">
        <v>0</v>
      </c>
      <c r="R38" s="75">
        <v>0</v>
      </c>
      <c r="S38" s="76">
        <v>0</v>
      </c>
      <c r="T38" s="77">
        <v>0</v>
      </c>
      <c r="U38" s="78">
        <v>0</v>
      </c>
      <c r="V38" s="79">
        <v>190</v>
      </c>
      <c r="W38" s="39">
        <v>6.8286513158633602</v>
      </c>
      <c r="X38" s="39">
        <v>79.872186672511504</v>
      </c>
    </row>
    <row r="39" spans="1:24" x14ac:dyDescent="0.3">
      <c r="A39" s="58" t="s">
        <v>156</v>
      </c>
      <c r="B39" s="59">
        <v>108</v>
      </c>
      <c r="C39" s="60">
        <v>100</v>
      </c>
      <c r="D39" s="61">
        <v>0</v>
      </c>
      <c r="E39" s="62">
        <v>0</v>
      </c>
      <c r="F39" s="63">
        <v>0</v>
      </c>
      <c r="G39" s="64">
        <v>0</v>
      </c>
      <c r="H39" s="65">
        <v>0</v>
      </c>
      <c r="I39" s="66">
        <v>0</v>
      </c>
      <c r="J39" s="67">
        <v>0</v>
      </c>
      <c r="K39" s="68">
        <v>0</v>
      </c>
      <c r="L39" s="69">
        <v>0</v>
      </c>
      <c r="M39" s="70">
        <v>0</v>
      </c>
      <c r="N39" s="71">
        <v>0</v>
      </c>
      <c r="O39" s="72">
        <v>0</v>
      </c>
      <c r="P39" s="73">
        <v>0</v>
      </c>
      <c r="Q39" s="74">
        <v>0</v>
      </c>
      <c r="R39" s="75">
        <v>0</v>
      </c>
      <c r="S39" s="76">
        <v>0</v>
      </c>
      <c r="T39" s="77">
        <v>0</v>
      </c>
      <c r="U39" s="78">
        <v>0</v>
      </c>
      <c r="V39" s="79">
        <v>108</v>
      </c>
      <c r="W39" s="39">
        <v>6.8575117210374703</v>
      </c>
      <c r="X39" s="39">
        <v>79.865595835953201</v>
      </c>
    </row>
    <row r="40" spans="1:24" x14ac:dyDescent="0.3">
      <c r="A40" s="58" t="s">
        <v>157</v>
      </c>
      <c r="B40" s="59">
        <v>17</v>
      </c>
      <c r="C40" s="60">
        <v>85</v>
      </c>
      <c r="D40" s="61">
        <v>2</v>
      </c>
      <c r="E40" s="62">
        <v>10</v>
      </c>
      <c r="F40" s="63">
        <v>1</v>
      </c>
      <c r="G40" s="64">
        <v>5</v>
      </c>
      <c r="H40" s="65">
        <v>0</v>
      </c>
      <c r="I40" s="66">
        <v>0</v>
      </c>
      <c r="J40" s="67">
        <v>0</v>
      </c>
      <c r="K40" s="68">
        <v>0</v>
      </c>
      <c r="L40" s="69">
        <v>0</v>
      </c>
      <c r="M40" s="70">
        <v>0</v>
      </c>
      <c r="N40" s="71">
        <v>0</v>
      </c>
      <c r="O40" s="72">
        <v>0</v>
      </c>
      <c r="P40" s="73">
        <v>0</v>
      </c>
      <c r="Q40" s="74">
        <v>0</v>
      </c>
      <c r="R40" s="75">
        <v>0</v>
      </c>
      <c r="S40" s="76">
        <v>0</v>
      </c>
      <c r="T40" s="77">
        <v>0</v>
      </c>
      <c r="U40" s="78">
        <v>0</v>
      </c>
      <c r="V40" s="79">
        <v>20</v>
      </c>
      <c r="W40" s="39">
        <v>6.8575117210374703</v>
      </c>
      <c r="X40" s="39">
        <v>79.865595835953201</v>
      </c>
    </row>
    <row r="41" spans="1:24" x14ac:dyDescent="0.3">
      <c r="A41" s="58" t="s">
        <v>65</v>
      </c>
      <c r="B41" s="59">
        <v>73</v>
      </c>
      <c r="C41" s="60">
        <v>66.97</v>
      </c>
      <c r="D41" s="61">
        <v>27</v>
      </c>
      <c r="E41" s="62">
        <v>24.77</v>
      </c>
      <c r="F41" s="63">
        <v>8</v>
      </c>
      <c r="G41" s="64">
        <v>7.34</v>
      </c>
      <c r="H41" s="65">
        <v>0</v>
      </c>
      <c r="I41" s="66">
        <v>0</v>
      </c>
      <c r="J41" s="67">
        <v>0</v>
      </c>
      <c r="K41" s="68">
        <v>0</v>
      </c>
      <c r="L41" s="69">
        <v>0</v>
      </c>
      <c r="M41" s="70">
        <v>0</v>
      </c>
      <c r="N41" s="71">
        <v>0</v>
      </c>
      <c r="O41" s="72">
        <v>0</v>
      </c>
      <c r="P41" s="73">
        <v>0</v>
      </c>
      <c r="Q41" s="74">
        <v>0</v>
      </c>
      <c r="R41" s="75">
        <v>0</v>
      </c>
      <c r="S41" s="76">
        <v>0</v>
      </c>
      <c r="T41" s="77">
        <v>1</v>
      </c>
      <c r="U41" s="78">
        <v>0.92</v>
      </c>
      <c r="V41" s="79">
        <v>109</v>
      </c>
      <c r="W41" s="39">
        <v>6.8370714891976201</v>
      </c>
      <c r="X41" s="39">
        <v>79.8662235003614</v>
      </c>
    </row>
    <row r="42" spans="1:24" x14ac:dyDescent="0.3">
      <c r="A42" s="58" t="s">
        <v>66</v>
      </c>
      <c r="B42" s="59">
        <v>118</v>
      </c>
      <c r="C42" s="60">
        <v>71.52</v>
      </c>
      <c r="D42" s="61">
        <v>23</v>
      </c>
      <c r="E42" s="62">
        <v>13.94</v>
      </c>
      <c r="F42" s="63">
        <v>18</v>
      </c>
      <c r="G42" s="64">
        <v>10.91</v>
      </c>
      <c r="H42" s="65">
        <v>0</v>
      </c>
      <c r="I42" s="66">
        <v>0</v>
      </c>
      <c r="J42" s="67">
        <v>0</v>
      </c>
      <c r="K42" s="68">
        <v>0</v>
      </c>
      <c r="L42" s="69">
        <v>0</v>
      </c>
      <c r="M42" s="70">
        <v>0</v>
      </c>
      <c r="N42" s="71">
        <v>0</v>
      </c>
      <c r="O42" s="72">
        <v>0</v>
      </c>
      <c r="P42" s="73">
        <v>0</v>
      </c>
      <c r="Q42" s="74">
        <v>0</v>
      </c>
      <c r="R42" s="75">
        <v>1</v>
      </c>
      <c r="S42" s="76">
        <v>0.61</v>
      </c>
      <c r="T42" s="77">
        <v>5</v>
      </c>
      <c r="U42" s="78">
        <v>3.03</v>
      </c>
      <c r="V42" s="79">
        <v>165</v>
      </c>
      <c r="W42" s="39">
        <v>6.8370714891976201</v>
      </c>
      <c r="X42" s="39">
        <v>79.8662235003614</v>
      </c>
    </row>
    <row r="43" spans="1:24" x14ac:dyDescent="0.3">
      <c r="A43" s="58" t="s">
        <v>158</v>
      </c>
      <c r="B43" s="59">
        <v>129</v>
      </c>
      <c r="C43" s="60">
        <v>95.56</v>
      </c>
      <c r="D43" s="61">
        <v>2</v>
      </c>
      <c r="E43" s="62">
        <v>1.48</v>
      </c>
      <c r="F43" s="63">
        <v>4</v>
      </c>
      <c r="G43" s="64">
        <v>2.96</v>
      </c>
      <c r="H43" s="65">
        <v>0</v>
      </c>
      <c r="I43" s="66">
        <v>0</v>
      </c>
      <c r="J43" s="67">
        <v>0</v>
      </c>
      <c r="K43" s="68">
        <v>0</v>
      </c>
      <c r="L43" s="69">
        <v>0</v>
      </c>
      <c r="M43" s="70">
        <v>0</v>
      </c>
      <c r="N43" s="71">
        <v>0</v>
      </c>
      <c r="O43" s="72">
        <v>0</v>
      </c>
      <c r="P43" s="73">
        <v>0</v>
      </c>
      <c r="Q43" s="74">
        <v>0</v>
      </c>
      <c r="R43" s="75">
        <v>0</v>
      </c>
      <c r="S43" s="76">
        <v>0</v>
      </c>
      <c r="T43" s="77">
        <v>0</v>
      </c>
      <c r="U43" s="78">
        <v>0</v>
      </c>
      <c r="V43" s="79">
        <v>135</v>
      </c>
      <c r="W43" s="39">
        <v>6.8593297544746203</v>
      </c>
      <c r="X43" s="39">
        <v>79.862410117442295</v>
      </c>
    </row>
    <row r="44" spans="1:24" x14ac:dyDescent="0.3">
      <c r="A44" s="58" t="s">
        <v>159</v>
      </c>
      <c r="B44" s="59">
        <v>192</v>
      </c>
      <c r="C44" s="60">
        <v>96</v>
      </c>
      <c r="D44" s="61">
        <v>1</v>
      </c>
      <c r="E44" s="62">
        <v>0.5</v>
      </c>
      <c r="F44" s="63">
        <v>7</v>
      </c>
      <c r="G44" s="64">
        <v>3.5</v>
      </c>
      <c r="H44" s="65">
        <v>0</v>
      </c>
      <c r="I44" s="66">
        <v>0</v>
      </c>
      <c r="J44" s="67">
        <v>0</v>
      </c>
      <c r="K44" s="68">
        <v>0</v>
      </c>
      <c r="L44" s="69">
        <v>0</v>
      </c>
      <c r="M44" s="70">
        <v>0</v>
      </c>
      <c r="N44" s="71">
        <v>0</v>
      </c>
      <c r="O44" s="72">
        <v>0</v>
      </c>
      <c r="P44" s="73">
        <v>0</v>
      </c>
      <c r="Q44" s="74">
        <v>0</v>
      </c>
      <c r="R44" s="75">
        <v>0</v>
      </c>
      <c r="S44" s="76">
        <v>0</v>
      </c>
      <c r="T44" s="77">
        <v>0</v>
      </c>
      <c r="U44" s="78">
        <v>0</v>
      </c>
      <c r="V44" s="79">
        <v>200</v>
      </c>
      <c r="W44" s="39">
        <v>6.8593297544746203</v>
      </c>
      <c r="X44" s="39">
        <v>79.862410117442295</v>
      </c>
    </row>
    <row r="45" spans="1:24" x14ac:dyDescent="0.3">
      <c r="A45" s="58" t="s">
        <v>89</v>
      </c>
      <c r="B45" s="59">
        <v>30</v>
      </c>
      <c r="C45" s="60">
        <v>71.430000000000007</v>
      </c>
      <c r="D45" s="61">
        <v>3</v>
      </c>
      <c r="E45" s="62">
        <v>7.14</v>
      </c>
      <c r="F45" s="63">
        <v>2</v>
      </c>
      <c r="G45" s="64">
        <v>4.76</v>
      </c>
      <c r="H45" s="65">
        <v>0</v>
      </c>
      <c r="I45" s="66">
        <v>0</v>
      </c>
      <c r="J45" s="67">
        <v>0</v>
      </c>
      <c r="K45" s="68">
        <v>0</v>
      </c>
      <c r="L45" s="69">
        <v>0</v>
      </c>
      <c r="M45" s="70">
        <v>0</v>
      </c>
      <c r="N45" s="71">
        <v>0</v>
      </c>
      <c r="O45" s="72">
        <v>0</v>
      </c>
      <c r="P45" s="73">
        <v>0</v>
      </c>
      <c r="Q45" s="74">
        <v>0</v>
      </c>
      <c r="R45" s="75">
        <v>1</v>
      </c>
      <c r="S45" s="76">
        <v>2.38</v>
      </c>
      <c r="T45" s="77">
        <v>6</v>
      </c>
      <c r="U45" s="78">
        <v>14.29</v>
      </c>
      <c r="V45" s="79">
        <v>42</v>
      </c>
      <c r="W45" s="39">
        <v>6.8331841460708898</v>
      </c>
      <c r="X45" s="39">
        <v>79.864285231775497</v>
      </c>
    </row>
    <row r="46" spans="1:24" x14ac:dyDescent="0.3">
      <c r="A46" s="58" t="s">
        <v>79</v>
      </c>
      <c r="B46" s="59">
        <v>43</v>
      </c>
      <c r="C46" s="60">
        <v>97.73</v>
      </c>
      <c r="D46" s="61">
        <v>0</v>
      </c>
      <c r="E46" s="62">
        <v>0</v>
      </c>
      <c r="F46" s="63">
        <v>1</v>
      </c>
      <c r="G46" s="64">
        <v>2.27</v>
      </c>
      <c r="H46" s="65">
        <v>0</v>
      </c>
      <c r="I46" s="66">
        <v>0</v>
      </c>
      <c r="J46" s="67">
        <v>0</v>
      </c>
      <c r="K46" s="68">
        <v>0</v>
      </c>
      <c r="L46" s="69">
        <v>0</v>
      </c>
      <c r="M46" s="70">
        <v>0</v>
      </c>
      <c r="N46" s="71">
        <v>0</v>
      </c>
      <c r="O46" s="72">
        <v>0</v>
      </c>
      <c r="P46" s="73">
        <v>0</v>
      </c>
      <c r="Q46" s="74">
        <v>0</v>
      </c>
      <c r="R46" s="75">
        <v>0</v>
      </c>
      <c r="S46" s="76">
        <v>0</v>
      </c>
      <c r="T46" s="77">
        <v>0</v>
      </c>
      <c r="U46" s="78">
        <v>0</v>
      </c>
      <c r="V46" s="79">
        <v>44</v>
      </c>
      <c r="W46" s="39">
        <v>6.8331841460708898</v>
      </c>
      <c r="X46" s="39">
        <v>79.864285231775497</v>
      </c>
    </row>
    <row r="47" spans="1:24" x14ac:dyDescent="0.3">
      <c r="A47" s="58" t="s">
        <v>160</v>
      </c>
      <c r="B47" s="59">
        <v>149</v>
      </c>
      <c r="C47" s="60">
        <v>91.41</v>
      </c>
      <c r="D47" s="61">
        <v>1</v>
      </c>
      <c r="E47" s="62">
        <v>0.61</v>
      </c>
      <c r="F47" s="63">
        <v>13</v>
      </c>
      <c r="G47" s="64">
        <v>7.98</v>
      </c>
      <c r="H47" s="65">
        <v>0</v>
      </c>
      <c r="I47" s="66">
        <v>0</v>
      </c>
      <c r="J47" s="67">
        <v>0</v>
      </c>
      <c r="K47" s="68">
        <v>0</v>
      </c>
      <c r="L47" s="69">
        <v>0</v>
      </c>
      <c r="M47" s="70">
        <v>0</v>
      </c>
      <c r="N47" s="71">
        <v>0</v>
      </c>
      <c r="O47" s="72">
        <v>0</v>
      </c>
      <c r="P47" s="73">
        <v>0</v>
      </c>
      <c r="Q47" s="74">
        <v>0</v>
      </c>
      <c r="R47" s="75">
        <v>0</v>
      </c>
      <c r="S47" s="76">
        <v>0</v>
      </c>
      <c r="T47" s="77">
        <v>0</v>
      </c>
      <c r="U47" s="78">
        <v>0</v>
      </c>
      <c r="V47" s="79">
        <v>163</v>
      </c>
      <c r="W47" s="39">
        <v>6.8537352485876504</v>
      </c>
      <c r="X47" s="39">
        <v>79.869633677214694</v>
      </c>
    </row>
    <row r="48" spans="1:24" x14ac:dyDescent="0.3">
      <c r="A48" s="58" t="s">
        <v>161</v>
      </c>
      <c r="B48" s="59">
        <v>88</v>
      </c>
      <c r="C48" s="60">
        <v>88.89</v>
      </c>
      <c r="D48" s="61">
        <v>3</v>
      </c>
      <c r="E48" s="62">
        <v>3.03</v>
      </c>
      <c r="F48" s="63">
        <v>7</v>
      </c>
      <c r="G48" s="64">
        <v>7.07</v>
      </c>
      <c r="H48" s="65">
        <v>0</v>
      </c>
      <c r="I48" s="66">
        <v>0</v>
      </c>
      <c r="J48" s="67">
        <v>0</v>
      </c>
      <c r="K48" s="68">
        <v>0</v>
      </c>
      <c r="L48" s="69">
        <v>0</v>
      </c>
      <c r="M48" s="70">
        <v>0</v>
      </c>
      <c r="N48" s="71">
        <v>0</v>
      </c>
      <c r="O48" s="72">
        <v>0</v>
      </c>
      <c r="P48" s="73">
        <v>0</v>
      </c>
      <c r="Q48" s="74">
        <v>0</v>
      </c>
      <c r="R48" s="75">
        <v>1</v>
      </c>
      <c r="S48" s="76">
        <v>1.01</v>
      </c>
      <c r="T48" s="77">
        <v>0</v>
      </c>
      <c r="U48" s="78">
        <v>0</v>
      </c>
      <c r="V48" s="79">
        <v>99</v>
      </c>
      <c r="W48" s="39">
        <v>6.8248708056105603</v>
      </c>
      <c r="X48" s="39">
        <v>79.866256171159904</v>
      </c>
    </row>
    <row r="49" spans="1:24" x14ac:dyDescent="0.3">
      <c r="A49" s="58" t="s">
        <v>162</v>
      </c>
      <c r="B49" s="59">
        <v>60</v>
      </c>
      <c r="C49" s="60">
        <v>89.55</v>
      </c>
      <c r="D49" s="61">
        <v>3</v>
      </c>
      <c r="E49" s="62">
        <v>4.4800000000000004</v>
      </c>
      <c r="F49" s="63">
        <v>4</v>
      </c>
      <c r="G49" s="64">
        <v>5.97</v>
      </c>
      <c r="H49" s="65">
        <v>0</v>
      </c>
      <c r="I49" s="66">
        <v>0</v>
      </c>
      <c r="J49" s="67">
        <v>0</v>
      </c>
      <c r="K49" s="68">
        <v>0</v>
      </c>
      <c r="L49" s="69">
        <v>0</v>
      </c>
      <c r="M49" s="70">
        <v>0</v>
      </c>
      <c r="N49" s="71">
        <v>0</v>
      </c>
      <c r="O49" s="72">
        <v>0</v>
      </c>
      <c r="P49" s="73">
        <v>0</v>
      </c>
      <c r="Q49" s="74">
        <v>0</v>
      </c>
      <c r="R49" s="75">
        <v>0</v>
      </c>
      <c r="S49" s="76">
        <v>0</v>
      </c>
      <c r="T49" s="77">
        <v>0</v>
      </c>
      <c r="U49" s="78">
        <v>0</v>
      </c>
      <c r="V49" s="79">
        <v>67</v>
      </c>
      <c r="W49" s="39">
        <v>6.8620419736766101</v>
      </c>
      <c r="X49" s="39">
        <v>79.862024767802296</v>
      </c>
    </row>
    <row r="50" spans="1:24" x14ac:dyDescent="0.3">
      <c r="A50" s="58" t="s">
        <v>163</v>
      </c>
      <c r="B50" s="59">
        <v>23</v>
      </c>
      <c r="C50" s="60">
        <v>71.88</v>
      </c>
      <c r="D50" s="61">
        <v>6</v>
      </c>
      <c r="E50" s="62">
        <v>18.75</v>
      </c>
      <c r="F50" s="63">
        <v>3</v>
      </c>
      <c r="G50" s="64">
        <v>9.3800000000000008</v>
      </c>
      <c r="H50" s="65">
        <v>0</v>
      </c>
      <c r="I50" s="66">
        <v>0</v>
      </c>
      <c r="J50" s="67">
        <v>0</v>
      </c>
      <c r="K50" s="68">
        <v>0</v>
      </c>
      <c r="L50" s="69">
        <v>0</v>
      </c>
      <c r="M50" s="70">
        <v>0</v>
      </c>
      <c r="N50" s="71">
        <v>0</v>
      </c>
      <c r="O50" s="72">
        <v>0</v>
      </c>
      <c r="P50" s="73">
        <v>0</v>
      </c>
      <c r="Q50" s="74">
        <v>0</v>
      </c>
      <c r="R50" s="75">
        <v>0</v>
      </c>
      <c r="S50" s="76">
        <v>0</v>
      </c>
      <c r="T50" s="77">
        <v>0</v>
      </c>
      <c r="U50" s="78">
        <v>0</v>
      </c>
      <c r="V50" s="79">
        <v>32</v>
      </c>
      <c r="W50" s="39">
        <v>6.8620419736766101</v>
      </c>
      <c r="X50" s="39">
        <v>79.862024767802296</v>
      </c>
    </row>
    <row r="51" spans="1:24" x14ac:dyDescent="0.3">
      <c r="A51" s="58" t="s">
        <v>164</v>
      </c>
      <c r="B51" s="59">
        <v>102</v>
      </c>
      <c r="C51" s="60">
        <v>85.71</v>
      </c>
      <c r="D51" s="61">
        <v>7</v>
      </c>
      <c r="E51" s="62">
        <v>5.88</v>
      </c>
      <c r="F51" s="63">
        <v>9</v>
      </c>
      <c r="G51" s="64">
        <v>7.56</v>
      </c>
      <c r="H51" s="65">
        <v>0</v>
      </c>
      <c r="I51" s="66">
        <v>0</v>
      </c>
      <c r="J51" s="67">
        <v>0</v>
      </c>
      <c r="K51" s="68">
        <v>0</v>
      </c>
      <c r="L51" s="69">
        <v>0</v>
      </c>
      <c r="M51" s="70">
        <v>0</v>
      </c>
      <c r="N51" s="71">
        <v>0</v>
      </c>
      <c r="O51" s="72">
        <v>0</v>
      </c>
      <c r="P51" s="73">
        <v>0</v>
      </c>
      <c r="Q51" s="74">
        <v>0</v>
      </c>
      <c r="R51" s="75">
        <v>1</v>
      </c>
      <c r="S51" s="76">
        <v>0.84</v>
      </c>
      <c r="T51" s="77">
        <v>0</v>
      </c>
      <c r="U51" s="78">
        <v>0</v>
      </c>
      <c r="V51" s="79">
        <v>119</v>
      </c>
      <c r="W51" s="39">
        <v>6.8342165950871898</v>
      </c>
      <c r="X51" s="39">
        <v>79.868977835513405</v>
      </c>
    </row>
    <row r="52" spans="1:24" x14ac:dyDescent="0.3">
      <c r="A52" s="58" t="s">
        <v>78</v>
      </c>
      <c r="B52" s="59">
        <v>69</v>
      </c>
      <c r="C52" s="60">
        <v>98.57</v>
      </c>
      <c r="D52" s="61">
        <v>0</v>
      </c>
      <c r="E52" s="62">
        <v>0</v>
      </c>
      <c r="F52" s="63">
        <v>1</v>
      </c>
      <c r="G52" s="64">
        <v>1.43</v>
      </c>
      <c r="H52" s="65">
        <v>0</v>
      </c>
      <c r="I52" s="66">
        <v>0</v>
      </c>
      <c r="J52" s="67">
        <v>0</v>
      </c>
      <c r="K52" s="68">
        <v>0</v>
      </c>
      <c r="L52" s="69">
        <v>0</v>
      </c>
      <c r="M52" s="70">
        <v>0</v>
      </c>
      <c r="N52" s="71">
        <v>0</v>
      </c>
      <c r="O52" s="72">
        <v>0</v>
      </c>
      <c r="P52" s="73">
        <v>0</v>
      </c>
      <c r="Q52" s="74">
        <v>0</v>
      </c>
      <c r="R52" s="75">
        <v>0</v>
      </c>
      <c r="S52" s="76">
        <v>0</v>
      </c>
      <c r="T52" s="77">
        <v>0</v>
      </c>
      <c r="U52" s="78">
        <v>0</v>
      </c>
      <c r="V52" s="79">
        <v>70</v>
      </c>
      <c r="W52" s="39">
        <v>6.8342165950871898</v>
      </c>
      <c r="X52" s="39">
        <v>79.868977835513405</v>
      </c>
    </row>
    <row r="53" spans="1:24" x14ac:dyDescent="0.3">
      <c r="A53" s="58" t="s">
        <v>165</v>
      </c>
      <c r="B53" s="59">
        <v>48</v>
      </c>
      <c r="C53" s="60">
        <v>94.12</v>
      </c>
      <c r="D53" s="61">
        <v>1</v>
      </c>
      <c r="E53" s="62">
        <v>1.96</v>
      </c>
      <c r="F53" s="63">
        <v>2</v>
      </c>
      <c r="G53" s="64">
        <v>3.92</v>
      </c>
      <c r="H53" s="65">
        <v>0</v>
      </c>
      <c r="I53" s="66">
        <v>0</v>
      </c>
      <c r="J53" s="67">
        <v>0</v>
      </c>
      <c r="K53" s="68">
        <v>0</v>
      </c>
      <c r="L53" s="69">
        <v>0</v>
      </c>
      <c r="M53" s="70">
        <v>0</v>
      </c>
      <c r="N53" s="71">
        <v>0</v>
      </c>
      <c r="O53" s="72">
        <v>0</v>
      </c>
      <c r="P53" s="73">
        <v>0</v>
      </c>
      <c r="Q53" s="74">
        <v>0</v>
      </c>
      <c r="R53" s="75">
        <v>0</v>
      </c>
      <c r="S53" s="76">
        <v>0</v>
      </c>
      <c r="T53" s="77">
        <v>0</v>
      </c>
      <c r="U53" s="78">
        <v>0</v>
      </c>
      <c r="V53" s="79">
        <v>51</v>
      </c>
      <c r="W53" s="39">
        <v>6.8342216315364297</v>
      </c>
      <c r="X53" s="39">
        <v>79.863710704633206</v>
      </c>
    </row>
    <row r="54" spans="1:24" x14ac:dyDescent="0.3">
      <c r="A54" s="58" t="s">
        <v>166</v>
      </c>
      <c r="B54" s="59">
        <v>65</v>
      </c>
      <c r="C54" s="60">
        <v>90.28</v>
      </c>
      <c r="D54" s="61">
        <v>2</v>
      </c>
      <c r="E54" s="62">
        <v>2.78</v>
      </c>
      <c r="F54" s="63">
        <v>3</v>
      </c>
      <c r="G54" s="64">
        <v>4.17</v>
      </c>
      <c r="H54" s="65">
        <v>0</v>
      </c>
      <c r="I54" s="66">
        <v>0</v>
      </c>
      <c r="J54" s="67">
        <v>0</v>
      </c>
      <c r="K54" s="68">
        <v>0</v>
      </c>
      <c r="L54" s="69">
        <v>0</v>
      </c>
      <c r="M54" s="70">
        <v>0</v>
      </c>
      <c r="N54" s="71">
        <v>0</v>
      </c>
      <c r="O54" s="72">
        <v>0</v>
      </c>
      <c r="P54" s="73">
        <v>0</v>
      </c>
      <c r="Q54" s="74">
        <v>0</v>
      </c>
      <c r="R54" s="75">
        <v>2</v>
      </c>
      <c r="S54" s="76">
        <v>2.78</v>
      </c>
      <c r="T54" s="77">
        <v>0</v>
      </c>
      <c r="U54" s="78">
        <v>0</v>
      </c>
      <c r="V54" s="79">
        <v>72</v>
      </c>
      <c r="W54" s="39">
        <v>6.8569132364558198</v>
      </c>
      <c r="X54" s="39">
        <v>79.862858979485395</v>
      </c>
    </row>
    <row r="55" spans="1:24" x14ac:dyDescent="0.3">
      <c r="A55" s="58" t="s">
        <v>167</v>
      </c>
      <c r="B55" s="59">
        <v>33</v>
      </c>
      <c r="C55" s="60">
        <v>94.29</v>
      </c>
      <c r="D55" s="61">
        <v>1</v>
      </c>
      <c r="E55" s="62">
        <v>2.86</v>
      </c>
      <c r="F55" s="63">
        <v>0</v>
      </c>
      <c r="G55" s="64">
        <v>0</v>
      </c>
      <c r="H55" s="65">
        <v>0</v>
      </c>
      <c r="I55" s="66">
        <v>0</v>
      </c>
      <c r="J55" s="67">
        <v>0</v>
      </c>
      <c r="K55" s="68">
        <v>0</v>
      </c>
      <c r="L55" s="69">
        <v>0</v>
      </c>
      <c r="M55" s="70">
        <v>0</v>
      </c>
      <c r="N55" s="71">
        <v>0</v>
      </c>
      <c r="O55" s="72">
        <v>0</v>
      </c>
      <c r="P55" s="73">
        <v>0</v>
      </c>
      <c r="Q55" s="74">
        <v>0</v>
      </c>
      <c r="R55" s="75">
        <v>1</v>
      </c>
      <c r="S55" s="76">
        <v>2.86</v>
      </c>
      <c r="T55" s="77">
        <v>0</v>
      </c>
      <c r="U55" s="78">
        <v>0</v>
      </c>
      <c r="V55" s="79">
        <v>35</v>
      </c>
      <c r="W55" s="39">
        <v>6.8569132364558198</v>
      </c>
      <c r="X55" s="39">
        <v>79.862858979485395</v>
      </c>
    </row>
    <row r="56" spans="1:24" x14ac:dyDescent="0.3">
      <c r="A56" s="58" t="s">
        <v>84</v>
      </c>
      <c r="B56" s="59">
        <v>131</v>
      </c>
      <c r="C56" s="60">
        <v>82.91</v>
      </c>
      <c r="D56" s="61">
        <v>15</v>
      </c>
      <c r="E56" s="62">
        <v>9.49</v>
      </c>
      <c r="F56" s="63">
        <v>11</v>
      </c>
      <c r="G56" s="64">
        <v>6.96</v>
      </c>
      <c r="H56" s="65">
        <v>0</v>
      </c>
      <c r="I56" s="66">
        <v>0</v>
      </c>
      <c r="J56" s="67">
        <v>0</v>
      </c>
      <c r="K56" s="68">
        <v>0</v>
      </c>
      <c r="L56" s="69">
        <v>0</v>
      </c>
      <c r="M56" s="70">
        <v>0</v>
      </c>
      <c r="N56" s="71">
        <v>0</v>
      </c>
      <c r="O56" s="72">
        <v>0</v>
      </c>
      <c r="P56" s="73">
        <v>0</v>
      </c>
      <c r="Q56" s="74">
        <v>0</v>
      </c>
      <c r="R56" s="75">
        <v>0</v>
      </c>
      <c r="S56" s="76">
        <v>0</v>
      </c>
      <c r="T56" s="77">
        <v>1</v>
      </c>
      <c r="U56" s="78">
        <v>0.63</v>
      </c>
      <c r="V56" s="79">
        <v>158</v>
      </c>
      <c r="W56" s="39">
        <v>6.8316333046677098</v>
      </c>
      <c r="X56" s="39">
        <v>79.865924536676104</v>
      </c>
    </row>
    <row r="57" spans="1:24" x14ac:dyDescent="0.3">
      <c r="A57" s="58" t="s">
        <v>168</v>
      </c>
      <c r="B57" s="59">
        <v>33</v>
      </c>
      <c r="C57" s="60">
        <v>84.62</v>
      </c>
      <c r="D57" s="61">
        <v>2</v>
      </c>
      <c r="E57" s="62">
        <v>5.13</v>
      </c>
      <c r="F57" s="63">
        <v>4</v>
      </c>
      <c r="G57" s="64">
        <v>10.26</v>
      </c>
      <c r="H57" s="65">
        <v>0</v>
      </c>
      <c r="I57" s="66">
        <v>0</v>
      </c>
      <c r="J57" s="67">
        <v>0</v>
      </c>
      <c r="K57" s="68">
        <v>0</v>
      </c>
      <c r="L57" s="69">
        <v>0</v>
      </c>
      <c r="M57" s="70">
        <v>0</v>
      </c>
      <c r="N57" s="71">
        <v>0</v>
      </c>
      <c r="O57" s="72">
        <v>0</v>
      </c>
      <c r="P57" s="73">
        <v>0</v>
      </c>
      <c r="Q57" s="74">
        <v>0</v>
      </c>
      <c r="R57" s="75">
        <v>0</v>
      </c>
      <c r="S57" s="76">
        <v>0</v>
      </c>
      <c r="T57" s="77">
        <v>0</v>
      </c>
      <c r="U57" s="78">
        <v>0</v>
      </c>
      <c r="V57" s="79">
        <v>39</v>
      </c>
      <c r="W57" s="39">
        <v>6.8316333046677098</v>
      </c>
      <c r="X57" s="39">
        <v>79.865924536676104</v>
      </c>
    </row>
    <row r="58" spans="1:24" x14ac:dyDescent="0.3">
      <c r="A58" s="58" t="s">
        <v>169</v>
      </c>
      <c r="B58" s="59">
        <v>368</v>
      </c>
      <c r="C58" s="60">
        <v>93.88</v>
      </c>
      <c r="D58" s="61">
        <v>17</v>
      </c>
      <c r="E58" s="62">
        <v>4.34</v>
      </c>
      <c r="F58" s="63">
        <v>6</v>
      </c>
      <c r="G58" s="64">
        <v>1.53</v>
      </c>
      <c r="H58" s="65">
        <v>0</v>
      </c>
      <c r="I58" s="66">
        <v>0</v>
      </c>
      <c r="J58" s="67">
        <v>0</v>
      </c>
      <c r="K58" s="68">
        <v>0</v>
      </c>
      <c r="L58" s="69">
        <v>0</v>
      </c>
      <c r="M58" s="70">
        <v>0</v>
      </c>
      <c r="N58" s="71">
        <v>0</v>
      </c>
      <c r="O58" s="72">
        <v>0</v>
      </c>
      <c r="P58" s="73">
        <v>0</v>
      </c>
      <c r="Q58" s="74">
        <v>0</v>
      </c>
      <c r="R58" s="75">
        <v>0</v>
      </c>
      <c r="S58" s="76">
        <v>0</v>
      </c>
      <c r="T58" s="77">
        <v>1</v>
      </c>
      <c r="U58" s="78">
        <v>0.26</v>
      </c>
      <c r="V58" s="79">
        <v>392</v>
      </c>
      <c r="W58" s="39">
        <v>6.8474440520359501</v>
      </c>
      <c r="X58" s="39">
        <v>79.873313161399807</v>
      </c>
    </row>
    <row r="59" spans="1:24" x14ac:dyDescent="0.3">
      <c r="A59" s="58" t="s">
        <v>170</v>
      </c>
      <c r="B59" s="59">
        <v>201</v>
      </c>
      <c r="C59" s="60">
        <v>95.71</v>
      </c>
      <c r="D59" s="61">
        <v>9</v>
      </c>
      <c r="E59" s="62">
        <v>4.29</v>
      </c>
      <c r="F59" s="63">
        <v>0</v>
      </c>
      <c r="G59" s="64">
        <v>0</v>
      </c>
      <c r="H59" s="65">
        <v>0</v>
      </c>
      <c r="I59" s="66">
        <v>0</v>
      </c>
      <c r="J59" s="67">
        <v>0</v>
      </c>
      <c r="K59" s="68">
        <v>0</v>
      </c>
      <c r="L59" s="69">
        <v>0</v>
      </c>
      <c r="M59" s="70">
        <v>0</v>
      </c>
      <c r="N59" s="71">
        <v>0</v>
      </c>
      <c r="O59" s="72">
        <v>0</v>
      </c>
      <c r="P59" s="73">
        <v>0</v>
      </c>
      <c r="Q59" s="74">
        <v>0</v>
      </c>
      <c r="R59" s="75">
        <v>0</v>
      </c>
      <c r="S59" s="76">
        <v>0</v>
      </c>
      <c r="T59" s="77">
        <v>0</v>
      </c>
      <c r="U59" s="78">
        <v>0</v>
      </c>
      <c r="V59" s="79">
        <v>210</v>
      </c>
      <c r="W59" s="39">
        <v>6.8474440520359501</v>
      </c>
      <c r="X59" s="39">
        <v>79.873313161399807</v>
      </c>
    </row>
    <row r="60" spans="1:24" x14ac:dyDescent="0.3">
      <c r="A60" s="58" t="s">
        <v>170</v>
      </c>
      <c r="B60" s="59">
        <v>113</v>
      </c>
      <c r="C60" s="60">
        <v>79.58</v>
      </c>
      <c r="D60" s="61">
        <v>11</v>
      </c>
      <c r="E60" s="62">
        <v>7.75</v>
      </c>
      <c r="F60" s="63">
        <v>18</v>
      </c>
      <c r="G60" s="64">
        <v>12.68</v>
      </c>
      <c r="H60" s="65">
        <v>0</v>
      </c>
      <c r="I60" s="66">
        <v>0</v>
      </c>
      <c r="J60" s="67">
        <v>0</v>
      </c>
      <c r="K60" s="68">
        <v>0</v>
      </c>
      <c r="L60" s="69">
        <v>0</v>
      </c>
      <c r="M60" s="70">
        <v>0</v>
      </c>
      <c r="N60" s="71">
        <v>0</v>
      </c>
      <c r="O60" s="72">
        <v>0</v>
      </c>
      <c r="P60" s="73">
        <v>0</v>
      </c>
      <c r="Q60" s="74">
        <v>0</v>
      </c>
      <c r="R60" s="75">
        <v>0</v>
      </c>
      <c r="S60" s="76">
        <v>0</v>
      </c>
      <c r="T60" s="77">
        <v>0</v>
      </c>
      <c r="U60" s="78">
        <v>0</v>
      </c>
      <c r="V60" s="79">
        <v>142</v>
      </c>
      <c r="W60" s="39">
        <v>6.8474440520359501</v>
      </c>
      <c r="X60" s="39">
        <v>79.873313161399807</v>
      </c>
    </row>
    <row r="61" spans="1:24" x14ac:dyDescent="0.3">
      <c r="A61" s="58" t="s">
        <v>171</v>
      </c>
      <c r="B61" s="59">
        <v>67</v>
      </c>
      <c r="C61" s="60">
        <v>88.16</v>
      </c>
      <c r="D61" s="61">
        <v>7</v>
      </c>
      <c r="E61" s="62">
        <v>9.2100000000000009</v>
      </c>
      <c r="F61" s="63">
        <v>1</v>
      </c>
      <c r="G61" s="64">
        <v>1.32</v>
      </c>
      <c r="H61" s="65">
        <v>0</v>
      </c>
      <c r="I61" s="66">
        <v>0</v>
      </c>
      <c r="J61" s="67">
        <v>0</v>
      </c>
      <c r="K61" s="68">
        <v>0</v>
      </c>
      <c r="L61" s="69">
        <v>0</v>
      </c>
      <c r="M61" s="70">
        <v>0</v>
      </c>
      <c r="N61" s="71">
        <v>0</v>
      </c>
      <c r="O61" s="72">
        <v>0</v>
      </c>
      <c r="P61" s="73">
        <v>0</v>
      </c>
      <c r="Q61" s="74">
        <v>0</v>
      </c>
      <c r="R61" s="75">
        <v>1</v>
      </c>
      <c r="S61" s="76">
        <v>1.32</v>
      </c>
      <c r="T61" s="77">
        <v>0</v>
      </c>
      <c r="U61" s="78">
        <v>0</v>
      </c>
      <c r="V61" s="79">
        <v>76</v>
      </c>
      <c r="W61" s="39">
        <v>6.8567688151939397</v>
      </c>
      <c r="X61" s="39">
        <v>79.869891019522299</v>
      </c>
    </row>
    <row r="62" spans="1:24" x14ac:dyDescent="0.3">
      <c r="A62" s="58" t="s">
        <v>172</v>
      </c>
      <c r="B62" s="59">
        <v>51</v>
      </c>
      <c r="C62" s="60">
        <v>87.93</v>
      </c>
      <c r="D62" s="61">
        <v>0</v>
      </c>
      <c r="E62" s="62">
        <v>0</v>
      </c>
      <c r="F62" s="63">
        <v>7</v>
      </c>
      <c r="G62" s="64">
        <v>12.07</v>
      </c>
      <c r="H62" s="65">
        <v>0</v>
      </c>
      <c r="I62" s="66">
        <v>0</v>
      </c>
      <c r="J62" s="67">
        <v>0</v>
      </c>
      <c r="K62" s="68">
        <v>0</v>
      </c>
      <c r="L62" s="69">
        <v>0</v>
      </c>
      <c r="M62" s="70">
        <v>0</v>
      </c>
      <c r="N62" s="71">
        <v>0</v>
      </c>
      <c r="O62" s="72">
        <v>0</v>
      </c>
      <c r="P62" s="73">
        <v>0</v>
      </c>
      <c r="Q62" s="74">
        <v>0</v>
      </c>
      <c r="R62" s="75">
        <v>0</v>
      </c>
      <c r="S62" s="76">
        <v>0</v>
      </c>
      <c r="T62" s="77">
        <v>0</v>
      </c>
      <c r="U62" s="78">
        <v>0</v>
      </c>
      <c r="V62" s="79">
        <v>58</v>
      </c>
      <c r="W62" s="39">
        <v>6.8567688151939397</v>
      </c>
      <c r="X62" s="39">
        <v>79.869891019522299</v>
      </c>
    </row>
    <row r="63" spans="1:24" x14ac:dyDescent="0.3">
      <c r="A63" s="58" t="s">
        <v>173</v>
      </c>
      <c r="B63" s="59">
        <v>14</v>
      </c>
      <c r="C63" s="60">
        <v>87.5</v>
      </c>
      <c r="D63" s="61">
        <v>0</v>
      </c>
      <c r="E63" s="62">
        <v>0</v>
      </c>
      <c r="F63" s="63">
        <v>1</v>
      </c>
      <c r="G63" s="64">
        <v>6.25</v>
      </c>
      <c r="H63" s="65">
        <v>0</v>
      </c>
      <c r="I63" s="66">
        <v>0</v>
      </c>
      <c r="J63" s="67">
        <v>0</v>
      </c>
      <c r="K63" s="68">
        <v>0</v>
      </c>
      <c r="L63" s="69">
        <v>0</v>
      </c>
      <c r="M63" s="70">
        <v>0</v>
      </c>
      <c r="N63" s="71">
        <v>0</v>
      </c>
      <c r="O63" s="72">
        <v>0</v>
      </c>
      <c r="P63" s="73">
        <v>0</v>
      </c>
      <c r="Q63" s="74">
        <v>0</v>
      </c>
      <c r="R63" s="75">
        <v>1</v>
      </c>
      <c r="S63" s="76">
        <v>6.25</v>
      </c>
      <c r="T63" s="77">
        <v>0</v>
      </c>
      <c r="U63" s="78">
        <v>0</v>
      </c>
      <c r="V63" s="79">
        <v>16</v>
      </c>
      <c r="W63" s="39">
        <v>6.8577820731802701</v>
      </c>
      <c r="X63" s="39">
        <v>79.869182530453202</v>
      </c>
    </row>
    <row r="64" spans="1:24" x14ac:dyDescent="0.3">
      <c r="A64" s="58" t="s">
        <v>174</v>
      </c>
      <c r="B64" s="59">
        <v>27</v>
      </c>
      <c r="C64" s="60">
        <v>96.43</v>
      </c>
      <c r="D64" s="61">
        <v>0</v>
      </c>
      <c r="E64" s="62">
        <v>0</v>
      </c>
      <c r="F64" s="63">
        <v>1</v>
      </c>
      <c r="G64" s="64">
        <v>3.57</v>
      </c>
      <c r="H64" s="65">
        <v>0</v>
      </c>
      <c r="I64" s="66">
        <v>0</v>
      </c>
      <c r="J64" s="67">
        <v>0</v>
      </c>
      <c r="K64" s="68">
        <v>0</v>
      </c>
      <c r="L64" s="69">
        <v>0</v>
      </c>
      <c r="M64" s="70">
        <v>0</v>
      </c>
      <c r="N64" s="71">
        <v>0</v>
      </c>
      <c r="O64" s="72">
        <v>0</v>
      </c>
      <c r="P64" s="73">
        <v>0</v>
      </c>
      <c r="Q64" s="74">
        <v>0</v>
      </c>
      <c r="R64" s="75">
        <v>0</v>
      </c>
      <c r="S64" s="76">
        <v>0</v>
      </c>
      <c r="T64" s="77">
        <v>0</v>
      </c>
      <c r="U64" s="78">
        <v>0</v>
      </c>
      <c r="V64" s="79">
        <v>28</v>
      </c>
      <c r="W64" s="39">
        <v>6.8577820731802701</v>
      </c>
      <c r="X64" s="39">
        <v>79.869182530453202</v>
      </c>
    </row>
    <row r="65" spans="1:24" x14ac:dyDescent="0.3">
      <c r="A65" s="58" t="s">
        <v>175</v>
      </c>
      <c r="B65" s="59">
        <v>93</v>
      </c>
      <c r="C65" s="60">
        <v>86.92</v>
      </c>
      <c r="D65" s="61">
        <v>4</v>
      </c>
      <c r="E65" s="62">
        <v>3.74</v>
      </c>
      <c r="F65" s="63">
        <v>9</v>
      </c>
      <c r="G65" s="64">
        <v>8.41</v>
      </c>
      <c r="H65" s="65">
        <v>0</v>
      </c>
      <c r="I65" s="66">
        <v>0</v>
      </c>
      <c r="J65" s="67">
        <v>0</v>
      </c>
      <c r="K65" s="68">
        <v>0</v>
      </c>
      <c r="L65" s="69">
        <v>0</v>
      </c>
      <c r="M65" s="70">
        <v>0</v>
      </c>
      <c r="N65" s="71">
        <v>0</v>
      </c>
      <c r="O65" s="72">
        <v>0</v>
      </c>
      <c r="P65" s="73">
        <v>0</v>
      </c>
      <c r="Q65" s="74">
        <v>0</v>
      </c>
      <c r="R65" s="75">
        <v>0</v>
      </c>
      <c r="S65" s="76">
        <v>0</v>
      </c>
      <c r="T65" s="77">
        <v>1</v>
      </c>
      <c r="U65" s="78">
        <v>0.93</v>
      </c>
      <c r="V65" s="79">
        <v>107</v>
      </c>
      <c r="W65" s="39">
        <v>6.85747224013791</v>
      </c>
      <c r="X65" s="39">
        <v>79.869708679195099</v>
      </c>
    </row>
    <row r="66" spans="1:24" x14ac:dyDescent="0.3">
      <c r="A66" s="58" t="s">
        <v>176</v>
      </c>
      <c r="B66" s="59">
        <v>74</v>
      </c>
      <c r="C66" s="60">
        <v>85.06</v>
      </c>
      <c r="D66" s="61">
        <v>2</v>
      </c>
      <c r="E66" s="62">
        <v>2.2999999999999998</v>
      </c>
      <c r="F66" s="63">
        <v>9</v>
      </c>
      <c r="G66" s="64">
        <v>10.34</v>
      </c>
      <c r="H66" s="65">
        <v>0</v>
      </c>
      <c r="I66" s="66">
        <v>0</v>
      </c>
      <c r="J66" s="67">
        <v>0</v>
      </c>
      <c r="K66" s="68">
        <v>0</v>
      </c>
      <c r="L66" s="69">
        <v>0</v>
      </c>
      <c r="M66" s="70">
        <v>0</v>
      </c>
      <c r="N66" s="71">
        <v>0</v>
      </c>
      <c r="O66" s="72">
        <v>0</v>
      </c>
      <c r="P66" s="73">
        <v>0</v>
      </c>
      <c r="Q66" s="74">
        <v>0</v>
      </c>
      <c r="R66" s="75">
        <v>2</v>
      </c>
      <c r="S66" s="76">
        <v>2.2999999999999998</v>
      </c>
      <c r="T66" s="77">
        <v>0</v>
      </c>
      <c r="U66" s="78">
        <v>0</v>
      </c>
      <c r="V66" s="79">
        <v>87</v>
      </c>
      <c r="W66" s="39">
        <v>6.85747224013791</v>
      </c>
      <c r="X66" s="39">
        <v>79.869708679195099</v>
      </c>
    </row>
    <row r="67" spans="1:24" x14ac:dyDescent="0.3">
      <c r="A67" s="58" t="s">
        <v>177</v>
      </c>
      <c r="B67" s="59">
        <v>163</v>
      </c>
      <c r="C67" s="60">
        <v>90.56</v>
      </c>
      <c r="D67" s="61">
        <v>7</v>
      </c>
      <c r="E67" s="62">
        <v>3.89</v>
      </c>
      <c r="F67" s="63">
        <v>10</v>
      </c>
      <c r="G67" s="64">
        <v>5.56</v>
      </c>
      <c r="H67" s="65">
        <v>0</v>
      </c>
      <c r="I67" s="66">
        <v>0</v>
      </c>
      <c r="J67" s="67">
        <v>0</v>
      </c>
      <c r="K67" s="68">
        <v>0</v>
      </c>
      <c r="L67" s="69">
        <v>0</v>
      </c>
      <c r="M67" s="70">
        <v>0</v>
      </c>
      <c r="N67" s="71">
        <v>0</v>
      </c>
      <c r="O67" s="72">
        <v>0</v>
      </c>
      <c r="P67" s="73">
        <v>0</v>
      </c>
      <c r="Q67" s="74">
        <v>0</v>
      </c>
      <c r="R67" s="75">
        <v>0</v>
      </c>
      <c r="S67" s="76">
        <v>0</v>
      </c>
      <c r="T67" s="77">
        <v>0</v>
      </c>
      <c r="U67" s="78">
        <v>0</v>
      </c>
      <c r="V67" s="79">
        <v>180</v>
      </c>
      <c r="W67" s="39">
        <v>6.8425833240084204</v>
      </c>
      <c r="X67" s="39">
        <v>79.868450032202702</v>
      </c>
    </row>
    <row r="68" spans="1:24" x14ac:dyDescent="0.3">
      <c r="A68" s="58" t="s">
        <v>177</v>
      </c>
      <c r="B68" s="59">
        <v>143</v>
      </c>
      <c r="C68" s="60">
        <v>84.62</v>
      </c>
      <c r="D68" s="61">
        <v>7</v>
      </c>
      <c r="E68" s="62">
        <v>4.1399999999999997</v>
      </c>
      <c r="F68" s="63">
        <v>13</v>
      </c>
      <c r="G68" s="64">
        <v>7.69</v>
      </c>
      <c r="H68" s="65">
        <v>0</v>
      </c>
      <c r="I68" s="66">
        <v>0</v>
      </c>
      <c r="J68" s="67">
        <v>0</v>
      </c>
      <c r="K68" s="68">
        <v>0</v>
      </c>
      <c r="L68" s="69">
        <v>0</v>
      </c>
      <c r="M68" s="70">
        <v>0</v>
      </c>
      <c r="N68" s="71">
        <v>0</v>
      </c>
      <c r="O68" s="72">
        <v>0</v>
      </c>
      <c r="P68" s="73">
        <v>0</v>
      </c>
      <c r="Q68" s="74">
        <v>0</v>
      </c>
      <c r="R68" s="75">
        <v>6</v>
      </c>
      <c r="S68" s="76">
        <v>3.55</v>
      </c>
      <c r="T68" s="77">
        <v>0</v>
      </c>
      <c r="U68" s="78">
        <v>0</v>
      </c>
      <c r="V68" s="79">
        <v>169</v>
      </c>
      <c r="W68" s="39">
        <v>6.8425833240084204</v>
      </c>
      <c r="X68" s="39">
        <v>79.868450032202702</v>
      </c>
    </row>
    <row r="69" spans="1:24" x14ac:dyDescent="0.3">
      <c r="A69" s="58" t="s">
        <v>178</v>
      </c>
      <c r="B69" s="59">
        <v>223</v>
      </c>
      <c r="C69" s="60">
        <v>92.53</v>
      </c>
      <c r="D69" s="61">
        <v>8</v>
      </c>
      <c r="E69" s="62">
        <v>3.32</v>
      </c>
      <c r="F69" s="63">
        <v>8</v>
      </c>
      <c r="G69" s="64">
        <v>3.32</v>
      </c>
      <c r="H69" s="65">
        <v>0</v>
      </c>
      <c r="I69" s="66">
        <v>0</v>
      </c>
      <c r="J69" s="67">
        <v>0</v>
      </c>
      <c r="K69" s="68">
        <v>0</v>
      </c>
      <c r="L69" s="69">
        <v>0</v>
      </c>
      <c r="M69" s="70">
        <v>0</v>
      </c>
      <c r="N69" s="71">
        <v>0</v>
      </c>
      <c r="O69" s="72">
        <v>0</v>
      </c>
      <c r="P69" s="73">
        <v>0</v>
      </c>
      <c r="Q69" s="74">
        <v>0</v>
      </c>
      <c r="R69" s="75">
        <v>2</v>
      </c>
      <c r="S69" s="76">
        <v>0.83</v>
      </c>
      <c r="T69" s="77">
        <v>0</v>
      </c>
      <c r="U69" s="78">
        <v>0</v>
      </c>
      <c r="V69" s="79">
        <v>241</v>
      </c>
      <c r="W69" s="39">
        <v>6.8425833240084204</v>
      </c>
      <c r="X69" s="39">
        <v>79.868450032202702</v>
      </c>
    </row>
    <row r="70" spans="1:24" x14ac:dyDescent="0.3">
      <c r="A70" s="58" t="s">
        <v>179</v>
      </c>
      <c r="B70" s="59">
        <v>4</v>
      </c>
      <c r="C70" s="60">
        <v>80</v>
      </c>
      <c r="D70" s="61">
        <v>0</v>
      </c>
      <c r="E70" s="62">
        <v>0</v>
      </c>
      <c r="F70" s="63">
        <v>0</v>
      </c>
      <c r="G70" s="64">
        <v>0</v>
      </c>
      <c r="H70" s="65">
        <v>0</v>
      </c>
      <c r="I70" s="66">
        <v>0</v>
      </c>
      <c r="J70" s="67">
        <v>0</v>
      </c>
      <c r="K70" s="68">
        <v>0</v>
      </c>
      <c r="L70" s="69">
        <v>0</v>
      </c>
      <c r="M70" s="70">
        <v>0</v>
      </c>
      <c r="N70" s="71">
        <v>0</v>
      </c>
      <c r="O70" s="72">
        <v>0</v>
      </c>
      <c r="P70" s="73">
        <v>0</v>
      </c>
      <c r="Q70" s="74">
        <v>0</v>
      </c>
      <c r="R70" s="75">
        <v>1</v>
      </c>
      <c r="S70" s="76">
        <v>20</v>
      </c>
      <c r="T70" s="77">
        <v>0</v>
      </c>
      <c r="U70" s="78">
        <v>0</v>
      </c>
      <c r="V70" s="79">
        <v>5</v>
      </c>
      <c r="W70" s="39">
        <v>6.8552222554647297</v>
      </c>
      <c r="X70" s="39">
        <v>79.863639596180406</v>
      </c>
    </row>
    <row r="71" spans="1:24" x14ac:dyDescent="0.3">
      <c r="A71" s="58" t="s">
        <v>180</v>
      </c>
      <c r="B71" s="59">
        <v>24</v>
      </c>
      <c r="C71" s="60">
        <v>100</v>
      </c>
      <c r="D71" s="61">
        <v>0</v>
      </c>
      <c r="E71" s="62">
        <v>0</v>
      </c>
      <c r="F71" s="63">
        <v>0</v>
      </c>
      <c r="G71" s="64">
        <v>0</v>
      </c>
      <c r="H71" s="65">
        <v>0</v>
      </c>
      <c r="I71" s="66">
        <v>0</v>
      </c>
      <c r="J71" s="67">
        <v>0</v>
      </c>
      <c r="K71" s="68">
        <v>0</v>
      </c>
      <c r="L71" s="69">
        <v>0</v>
      </c>
      <c r="M71" s="70">
        <v>0</v>
      </c>
      <c r="N71" s="71">
        <v>0</v>
      </c>
      <c r="O71" s="72">
        <v>0</v>
      </c>
      <c r="P71" s="73">
        <v>0</v>
      </c>
      <c r="Q71" s="74">
        <v>0</v>
      </c>
      <c r="R71" s="75">
        <v>0</v>
      </c>
      <c r="S71" s="76">
        <v>0</v>
      </c>
      <c r="T71" s="77">
        <v>0</v>
      </c>
      <c r="U71" s="78">
        <v>0</v>
      </c>
      <c r="V71" s="79">
        <v>24</v>
      </c>
      <c r="W71" s="39">
        <v>6.8552222554647297</v>
      </c>
      <c r="X71" s="39">
        <v>79.863639596180406</v>
      </c>
    </row>
    <row r="72" spans="1:24" x14ac:dyDescent="0.3">
      <c r="A72" s="58" t="s">
        <v>181</v>
      </c>
      <c r="B72" s="59">
        <v>166</v>
      </c>
      <c r="C72" s="60">
        <v>94.32</v>
      </c>
      <c r="D72" s="61">
        <v>5</v>
      </c>
      <c r="E72" s="62">
        <v>2.84</v>
      </c>
      <c r="F72" s="63">
        <v>1</v>
      </c>
      <c r="G72" s="64">
        <v>0.56999999999999995</v>
      </c>
      <c r="H72" s="65">
        <v>0</v>
      </c>
      <c r="I72" s="66">
        <v>0</v>
      </c>
      <c r="J72" s="67">
        <v>3</v>
      </c>
      <c r="K72" s="68">
        <v>1.7</v>
      </c>
      <c r="L72" s="69">
        <v>0</v>
      </c>
      <c r="M72" s="70">
        <v>0</v>
      </c>
      <c r="N72" s="71">
        <v>0</v>
      </c>
      <c r="O72" s="72">
        <v>0</v>
      </c>
      <c r="P72" s="73">
        <v>0</v>
      </c>
      <c r="Q72" s="74">
        <v>0</v>
      </c>
      <c r="R72" s="75">
        <v>1</v>
      </c>
      <c r="S72" s="76">
        <v>0.56999999999999995</v>
      </c>
      <c r="T72" s="77">
        <v>0</v>
      </c>
      <c r="U72" s="78">
        <v>0</v>
      </c>
      <c r="V72" s="79">
        <v>176</v>
      </c>
      <c r="W72" s="39">
        <v>6.8574916809142801</v>
      </c>
      <c r="X72" s="39">
        <v>79.863014113848706</v>
      </c>
    </row>
    <row r="73" spans="1:24" x14ac:dyDescent="0.3">
      <c r="A73" s="58" t="s">
        <v>182</v>
      </c>
      <c r="B73" s="59">
        <v>98</v>
      </c>
      <c r="C73" s="60">
        <v>95.15</v>
      </c>
      <c r="D73" s="61">
        <v>2</v>
      </c>
      <c r="E73" s="62">
        <v>1.94</v>
      </c>
      <c r="F73" s="63">
        <v>1</v>
      </c>
      <c r="G73" s="64">
        <v>0.97</v>
      </c>
      <c r="H73" s="65">
        <v>0</v>
      </c>
      <c r="I73" s="66">
        <v>0</v>
      </c>
      <c r="J73" s="67">
        <v>0</v>
      </c>
      <c r="K73" s="68">
        <v>0</v>
      </c>
      <c r="L73" s="69">
        <v>0</v>
      </c>
      <c r="M73" s="70">
        <v>0</v>
      </c>
      <c r="N73" s="71">
        <v>0</v>
      </c>
      <c r="O73" s="72">
        <v>0</v>
      </c>
      <c r="P73" s="73">
        <v>0</v>
      </c>
      <c r="Q73" s="74">
        <v>0</v>
      </c>
      <c r="R73" s="75">
        <v>2</v>
      </c>
      <c r="S73" s="76">
        <v>1.94</v>
      </c>
      <c r="T73" s="77">
        <v>0</v>
      </c>
      <c r="U73" s="78">
        <v>0</v>
      </c>
      <c r="V73" s="79">
        <v>103</v>
      </c>
      <c r="W73" s="39">
        <v>6.8574916809142801</v>
      </c>
      <c r="X73" s="39">
        <v>79.863014113848706</v>
      </c>
    </row>
    <row r="74" spans="1:24" x14ac:dyDescent="0.3">
      <c r="A74" s="58" t="s">
        <v>183</v>
      </c>
      <c r="B74" s="59">
        <v>25</v>
      </c>
      <c r="C74" s="60">
        <v>86.21</v>
      </c>
      <c r="D74" s="61">
        <v>0</v>
      </c>
      <c r="E74" s="62">
        <v>0</v>
      </c>
      <c r="F74" s="63">
        <v>4</v>
      </c>
      <c r="G74" s="64">
        <v>13.79</v>
      </c>
      <c r="H74" s="65">
        <v>0</v>
      </c>
      <c r="I74" s="66">
        <v>0</v>
      </c>
      <c r="J74" s="67">
        <v>0</v>
      </c>
      <c r="K74" s="68">
        <v>0</v>
      </c>
      <c r="L74" s="69">
        <v>0</v>
      </c>
      <c r="M74" s="70">
        <v>0</v>
      </c>
      <c r="N74" s="71">
        <v>0</v>
      </c>
      <c r="O74" s="72">
        <v>0</v>
      </c>
      <c r="P74" s="73">
        <v>0</v>
      </c>
      <c r="Q74" s="74">
        <v>0</v>
      </c>
      <c r="R74" s="75">
        <v>0</v>
      </c>
      <c r="S74" s="76">
        <v>0</v>
      </c>
      <c r="T74" s="77">
        <v>0</v>
      </c>
      <c r="U74" s="78">
        <v>0</v>
      </c>
      <c r="V74" s="79">
        <v>29</v>
      </c>
      <c r="W74" s="39">
        <v>6.82631803379613</v>
      </c>
      <c r="X74" s="39">
        <v>79.871857916598302</v>
      </c>
    </row>
    <row r="75" spans="1:24" x14ac:dyDescent="0.3">
      <c r="A75" s="58" t="s">
        <v>184</v>
      </c>
      <c r="B75" s="59">
        <v>23</v>
      </c>
      <c r="C75" s="60">
        <v>92</v>
      </c>
      <c r="D75" s="61">
        <v>0</v>
      </c>
      <c r="E75" s="62">
        <v>0</v>
      </c>
      <c r="F75" s="63">
        <v>2</v>
      </c>
      <c r="G75" s="64">
        <v>8</v>
      </c>
      <c r="H75" s="65">
        <v>0</v>
      </c>
      <c r="I75" s="66">
        <v>0</v>
      </c>
      <c r="J75" s="67">
        <v>0</v>
      </c>
      <c r="K75" s="68">
        <v>0</v>
      </c>
      <c r="L75" s="69">
        <v>0</v>
      </c>
      <c r="M75" s="70">
        <v>0</v>
      </c>
      <c r="N75" s="71">
        <v>0</v>
      </c>
      <c r="O75" s="72">
        <v>0</v>
      </c>
      <c r="P75" s="73">
        <v>0</v>
      </c>
      <c r="Q75" s="74">
        <v>0</v>
      </c>
      <c r="R75" s="75">
        <v>0</v>
      </c>
      <c r="S75" s="76">
        <v>0</v>
      </c>
      <c r="T75" s="77">
        <v>0</v>
      </c>
      <c r="U75" s="78">
        <v>0</v>
      </c>
      <c r="V75" s="79">
        <v>25</v>
      </c>
      <c r="W75" s="39">
        <v>6.82631803379613</v>
      </c>
      <c r="X75" s="39">
        <v>79.871857916598302</v>
      </c>
    </row>
    <row r="76" spans="1:24" x14ac:dyDescent="0.3">
      <c r="A76" s="58" t="s">
        <v>185</v>
      </c>
      <c r="B76" s="59">
        <v>191</v>
      </c>
      <c r="C76" s="60">
        <v>86.82</v>
      </c>
      <c r="D76" s="61">
        <v>13</v>
      </c>
      <c r="E76" s="62">
        <v>5.91</v>
      </c>
      <c r="F76" s="63">
        <v>14</v>
      </c>
      <c r="G76" s="64">
        <v>6.36</v>
      </c>
      <c r="H76" s="65">
        <v>0</v>
      </c>
      <c r="I76" s="66">
        <v>0</v>
      </c>
      <c r="J76" s="67">
        <v>0</v>
      </c>
      <c r="K76" s="68">
        <v>0</v>
      </c>
      <c r="L76" s="69">
        <v>0</v>
      </c>
      <c r="M76" s="70">
        <v>0</v>
      </c>
      <c r="N76" s="71">
        <v>0</v>
      </c>
      <c r="O76" s="72">
        <v>0</v>
      </c>
      <c r="P76" s="73">
        <v>0</v>
      </c>
      <c r="Q76" s="74">
        <v>0</v>
      </c>
      <c r="R76" s="75">
        <v>2</v>
      </c>
      <c r="S76" s="76">
        <v>0.91</v>
      </c>
      <c r="T76" s="77">
        <v>0</v>
      </c>
      <c r="U76" s="78">
        <v>0</v>
      </c>
      <c r="V76" s="79">
        <v>220</v>
      </c>
      <c r="W76" s="39">
        <v>6.8275913580718903</v>
      </c>
      <c r="X76" s="39">
        <v>79.873684403129502</v>
      </c>
    </row>
    <row r="77" spans="1:24" x14ac:dyDescent="0.3">
      <c r="A77" s="58" t="s">
        <v>186</v>
      </c>
      <c r="B77" s="59">
        <v>158</v>
      </c>
      <c r="C77" s="60">
        <v>80.61</v>
      </c>
      <c r="D77" s="61">
        <v>16</v>
      </c>
      <c r="E77" s="62">
        <v>8.16</v>
      </c>
      <c r="F77" s="63">
        <v>22</v>
      </c>
      <c r="G77" s="64">
        <v>11.22</v>
      </c>
      <c r="H77" s="65">
        <v>0</v>
      </c>
      <c r="I77" s="66">
        <v>0</v>
      </c>
      <c r="J77" s="67">
        <v>0</v>
      </c>
      <c r="K77" s="68">
        <v>0</v>
      </c>
      <c r="L77" s="69">
        <v>0</v>
      </c>
      <c r="M77" s="70">
        <v>0</v>
      </c>
      <c r="N77" s="71">
        <v>0</v>
      </c>
      <c r="O77" s="72">
        <v>0</v>
      </c>
      <c r="P77" s="73">
        <v>0</v>
      </c>
      <c r="Q77" s="74">
        <v>0</v>
      </c>
      <c r="R77" s="75">
        <v>0</v>
      </c>
      <c r="S77" s="76">
        <v>0</v>
      </c>
      <c r="T77" s="77">
        <v>0</v>
      </c>
      <c r="U77" s="78">
        <v>0</v>
      </c>
      <c r="V77" s="79">
        <v>196</v>
      </c>
      <c r="W77" s="39">
        <v>6.8275913580718903</v>
      </c>
      <c r="X77" s="39">
        <v>79.873684403129502</v>
      </c>
    </row>
    <row r="78" spans="1:24" x14ac:dyDescent="0.3">
      <c r="A78" s="58" t="s">
        <v>187</v>
      </c>
      <c r="B78" s="59">
        <v>84</v>
      </c>
      <c r="C78" s="60">
        <v>85.71</v>
      </c>
      <c r="D78" s="61">
        <v>2</v>
      </c>
      <c r="E78" s="62">
        <v>2.04</v>
      </c>
      <c r="F78" s="63">
        <v>12</v>
      </c>
      <c r="G78" s="64">
        <v>12.24</v>
      </c>
      <c r="H78" s="65">
        <v>0</v>
      </c>
      <c r="I78" s="66">
        <v>0</v>
      </c>
      <c r="J78" s="67">
        <v>0</v>
      </c>
      <c r="K78" s="68">
        <v>0</v>
      </c>
      <c r="L78" s="69">
        <v>0</v>
      </c>
      <c r="M78" s="70">
        <v>0</v>
      </c>
      <c r="N78" s="71">
        <v>0</v>
      </c>
      <c r="O78" s="72">
        <v>0</v>
      </c>
      <c r="P78" s="73">
        <v>0</v>
      </c>
      <c r="Q78" s="74">
        <v>0</v>
      </c>
      <c r="R78" s="75">
        <v>0</v>
      </c>
      <c r="S78" s="76">
        <v>0</v>
      </c>
      <c r="T78" s="77">
        <v>0</v>
      </c>
      <c r="U78" s="78">
        <v>0</v>
      </c>
      <c r="V78" s="79">
        <v>98</v>
      </c>
      <c r="W78" s="39">
        <v>6.8461527878475001</v>
      </c>
      <c r="X78" s="39">
        <v>79.868779658537704</v>
      </c>
    </row>
    <row r="79" spans="1:24" x14ac:dyDescent="0.3">
      <c r="A79" s="58" t="s">
        <v>188</v>
      </c>
      <c r="B79" s="59">
        <v>31</v>
      </c>
      <c r="C79" s="60">
        <v>88.57</v>
      </c>
      <c r="D79" s="61">
        <v>3</v>
      </c>
      <c r="E79" s="62">
        <v>8.57</v>
      </c>
      <c r="F79" s="63">
        <v>1</v>
      </c>
      <c r="G79" s="64">
        <v>2.86</v>
      </c>
      <c r="H79" s="65">
        <v>0</v>
      </c>
      <c r="I79" s="66">
        <v>0</v>
      </c>
      <c r="J79" s="67">
        <v>0</v>
      </c>
      <c r="K79" s="68">
        <v>0</v>
      </c>
      <c r="L79" s="69">
        <v>0</v>
      </c>
      <c r="M79" s="70">
        <v>0</v>
      </c>
      <c r="N79" s="71">
        <v>0</v>
      </c>
      <c r="O79" s="72">
        <v>0</v>
      </c>
      <c r="P79" s="73">
        <v>0</v>
      </c>
      <c r="Q79" s="74">
        <v>0</v>
      </c>
      <c r="R79" s="75">
        <v>0</v>
      </c>
      <c r="S79" s="76">
        <v>0</v>
      </c>
      <c r="T79" s="77">
        <v>0</v>
      </c>
      <c r="U79" s="78">
        <v>0</v>
      </c>
      <c r="V79" s="79">
        <v>35</v>
      </c>
      <c r="W79" s="39">
        <v>6.85966382956064</v>
      </c>
      <c r="X79" s="39">
        <v>79.861805322354599</v>
      </c>
    </row>
    <row r="80" spans="1:24" x14ac:dyDescent="0.3">
      <c r="A80" s="58" t="s">
        <v>189</v>
      </c>
      <c r="B80" s="59">
        <v>42</v>
      </c>
      <c r="C80" s="60">
        <v>97.67</v>
      </c>
      <c r="D80" s="61">
        <v>0</v>
      </c>
      <c r="E80" s="62">
        <v>0</v>
      </c>
      <c r="F80" s="63">
        <v>1</v>
      </c>
      <c r="G80" s="64">
        <v>2.33</v>
      </c>
      <c r="H80" s="65">
        <v>0</v>
      </c>
      <c r="I80" s="66">
        <v>0</v>
      </c>
      <c r="J80" s="67">
        <v>0</v>
      </c>
      <c r="K80" s="68">
        <v>0</v>
      </c>
      <c r="L80" s="69">
        <v>0</v>
      </c>
      <c r="M80" s="70">
        <v>0</v>
      </c>
      <c r="N80" s="71">
        <v>0</v>
      </c>
      <c r="O80" s="72">
        <v>0</v>
      </c>
      <c r="P80" s="73">
        <v>0</v>
      </c>
      <c r="Q80" s="74">
        <v>0</v>
      </c>
      <c r="R80" s="75">
        <v>0</v>
      </c>
      <c r="S80" s="76">
        <v>0</v>
      </c>
      <c r="T80" s="77">
        <v>0</v>
      </c>
      <c r="U80" s="78">
        <v>0</v>
      </c>
      <c r="V80" s="79">
        <v>43</v>
      </c>
      <c r="W80" s="39">
        <v>6.85966382956064</v>
      </c>
      <c r="X80" s="39">
        <v>79.861805322354599</v>
      </c>
    </row>
    <row r="81" spans="1:24" x14ac:dyDescent="0.3">
      <c r="A81" s="58" t="s">
        <v>190</v>
      </c>
      <c r="B81" s="59">
        <v>57</v>
      </c>
      <c r="C81" s="60">
        <v>90.48</v>
      </c>
      <c r="D81" s="61">
        <v>6</v>
      </c>
      <c r="E81" s="62">
        <v>9.52</v>
      </c>
      <c r="F81" s="63">
        <v>0</v>
      </c>
      <c r="G81" s="64">
        <v>0</v>
      </c>
      <c r="H81" s="65">
        <v>0</v>
      </c>
      <c r="I81" s="66">
        <v>0</v>
      </c>
      <c r="J81" s="67">
        <v>0</v>
      </c>
      <c r="K81" s="68">
        <v>0</v>
      </c>
      <c r="L81" s="69">
        <v>0</v>
      </c>
      <c r="M81" s="70">
        <v>0</v>
      </c>
      <c r="N81" s="71">
        <v>0</v>
      </c>
      <c r="O81" s="72">
        <v>0</v>
      </c>
      <c r="P81" s="73">
        <v>0</v>
      </c>
      <c r="Q81" s="74">
        <v>0</v>
      </c>
      <c r="R81" s="75">
        <v>0</v>
      </c>
      <c r="S81" s="76">
        <v>0</v>
      </c>
      <c r="T81" s="77">
        <v>0</v>
      </c>
      <c r="U81" s="78">
        <v>0</v>
      </c>
      <c r="V81" s="79">
        <v>63</v>
      </c>
      <c r="W81" s="39">
        <v>6.8602388388218696</v>
      </c>
      <c r="X81" s="39">
        <v>79.863360600158899</v>
      </c>
    </row>
    <row r="82" spans="1:24" x14ac:dyDescent="0.3">
      <c r="A82" s="58" t="s">
        <v>191</v>
      </c>
      <c r="B82" s="59">
        <v>65</v>
      </c>
      <c r="C82" s="60">
        <v>91.55</v>
      </c>
      <c r="D82" s="61">
        <v>4</v>
      </c>
      <c r="E82" s="62">
        <v>5.63</v>
      </c>
      <c r="F82" s="63">
        <v>2</v>
      </c>
      <c r="G82" s="64">
        <v>2.82</v>
      </c>
      <c r="H82" s="65">
        <v>0</v>
      </c>
      <c r="I82" s="66">
        <v>0</v>
      </c>
      <c r="J82" s="67">
        <v>0</v>
      </c>
      <c r="K82" s="68">
        <v>0</v>
      </c>
      <c r="L82" s="69">
        <v>0</v>
      </c>
      <c r="M82" s="70">
        <v>0</v>
      </c>
      <c r="N82" s="71">
        <v>0</v>
      </c>
      <c r="O82" s="72">
        <v>0</v>
      </c>
      <c r="P82" s="73">
        <v>0</v>
      </c>
      <c r="Q82" s="74">
        <v>0</v>
      </c>
      <c r="R82" s="75">
        <v>0</v>
      </c>
      <c r="S82" s="76">
        <v>0</v>
      </c>
      <c r="T82" s="77">
        <v>0</v>
      </c>
      <c r="U82" s="78">
        <v>0</v>
      </c>
      <c r="V82" s="79">
        <v>71</v>
      </c>
      <c r="W82" s="39">
        <v>6.8602388388218696</v>
      </c>
      <c r="X82" s="39">
        <v>79.863360600158899</v>
      </c>
    </row>
    <row r="83" spans="1:24" x14ac:dyDescent="0.3">
      <c r="A83" s="58" t="s">
        <v>192</v>
      </c>
      <c r="B83" s="59">
        <v>37</v>
      </c>
      <c r="C83" s="60">
        <v>97.37</v>
      </c>
      <c r="D83" s="61">
        <v>1</v>
      </c>
      <c r="E83" s="62">
        <v>2.63</v>
      </c>
      <c r="F83" s="63">
        <v>0</v>
      </c>
      <c r="G83" s="64">
        <v>0</v>
      </c>
      <c r="H83" s="65">
        <v>0</v>
      </c>
      <c r="I83" s="66">
        <v>0</v>
      </c>
      <c r="J83" s="67">
        <v>0</v>
      </c>
      <c r="K83" s="68">
        <v>0</v>
      </c>
      <c r="L83" s="69">
        <v>0</v>
      </c>
      <c r="M83" s="70">
        <v>0</v>
      </c>
      <c r="N83" s="71">
        <v>0</v>
      </c>
      <c r="O83" s="72">
        <v>0</v>
      </c>
      <c r="P83" s="73">
        <v>0</v>
      </c>
      <c r="Q83" s="74">
        <v>0</v>
      </c>
      <c r="R83" s="75">
        <v>0</v>
      </c>
      <c r="S83" s="76">
        <v>0</v>
      </c>
      <c r="T83" s="77">
        <v>0</v>
      </c>
      <c r="U83" s="78">
        <v>0</v>
      </c>
      <c r="V83" s="79">
        <v>38</v>
      </c>
      <c r="W83" s="39">
        <v>6.8531185433040402</v>
      </c>
      <c r="X83" s="39">
        <v>79.864204703175005</v>
      </c>
    </row>
    <row r="84" spans="1:24" x14ac:dyDescent="0.3">
      <c r="A84" s="58" t="s">
        <v>193</v>
      </c>
      <c r="B84" s="59">
        <v>49</v>
      </c>
      <c r="C84" s="60">
        <v>94.23</v>
      </c>
      <c r="D84" s="61">
        <v>0</v>
      </c>
      <c r="E84" s="62">
        <v>0</v>
      </c>
      <c r="F84" s="63">
        <v>3</v>
      </c>
      <c r="G84" s="64">
        <v>5.77</v>
      </c>
      <c r="H84" s="65">
        <v>0</v>
      </c>
      <c r="I84" s="66">
        <v>0</v>
      </c>
      <c r="J84" s="67">
        <v>0</v>
      </c>
      <c r="K84" s="68">
        <v>0</v>
      </c>
      <c r="L84" s="69">
        <v>0</v>
      </c>
      <c r="M84" s="70">
        <v>0</v>
      </c>
      <c r="N84" s="71">
        <v>0</v>
      </c>
      <c r="O84" s="72">
        <v>0</v>
      </c>
      <c r="P84" s="73">
        <v>0</v>
      </c>
      <c r="Q84" s="74">
        <v>0</v>
      </c>
      <c r="R84" s="75">
        <v>0</v>
      </c>
      <c r="S84" s="76">
        <v>0</v>
      </c>
      <c r="T84" s="77">
        <v>0</v>
      </c>
      <c r="U84" s="78">
        <v>0</v>
      </c>
      <c r="V84" s="79">
        <v>52</v>
      </c>
      <c r="W84" s="39">
        <v>6.8531185433040402</v>
      </c>
      <c r="X84" s="39">
        <v>79.864204703175005</v>
      </c>
    </row>
    <row r="85" spans="1:24" x14ac:dyDescent="0.3">
      <c r="A85" s="58" t="s">
        <v>194</v>
      </c>
      <c r="B85" s="59">
        <v>34</v>
      </c>
      <c r="C85" s="60">
        <v>91.89</v>
      </c>
      <c r="D85" s="61">
        <v>0</v>
      </c>
      <c r="E85" s="62">
        <v>0</v>
      </c>
      <c r="F85" s="63">
        <v>3</v>
      </c>
      <c r="G85" s="64">
        <v>8.11</v>
      </c>
      <c r="H85" s="65">
        <v>0</v>
      </c>
      <c r="I85" s="66">
        <v>0</v>
      </c>
      <c r="J85" s="67">
        <v>0</v>
      </c>
      <c r="K85" s="68">
        <v>0</v>
      </c>
      <c r="L85" s="69">
        <v>0</v>
      </c>
      <c r="M85" s="70">
        <v>0</v>
      </c>
      <c r="N85" s="71">
        <v>0</v>
      </c>
      <c r="O85" s="72">
        <v>0</v>
      </c>
      <c r="P85" s="73">
        <v>0</v>
      </c>
      <c r="Q85" s="74">
        <v>0</v>
      </c>
      <c r="R85" s="75">
        <v>0</v>
      </c>
      <c r="S85" s="76">
        <v>0</v>
      </c>
      <c r="T85" s="77">
        <v>0</v>
      </c>
      <c r="U85" s="78">
        <v>0</v>
      </c>
      <c r="V85" s="79">
        <v>37</v>
      </c>
      <c r="W85" s="39">
        <v>6.8419095688080702</v>
      </c>
      <c r="X85" s="39">
        <v>79.863678156964795</v>
      </c>
    </row>
    <row r="86" spans="1:24" x14ac:dyDescent="0.3">
      <c r="A86" s="58" t="s">
        <v>77</v>
      </c>
      <c r="B86" s="59">
        <v>8</v>
      </c>
      <c r="C86" s="60">
        <v>100</v>
      </c>
      <c r="D86" s="61">
        <v>0</v>
      </c>
      <c r="E86" s="62">
        <v>0</v>
      </c>
      <c r="F86" s="63">
        <v>0</v>
      </c>
      <c r="G86" s="64">
        <v>0</v>
      </c>
      <c r="H86" s="65">
        <v>0</v>
      </c>
      <c r="I86" s="66">
        <v>0</v>
      </c>
      <c r="J86" s="67">
        <v>0</v>
      </c>
      <c r="K86" s="68">
        <v>0</v>
      </c>
      <c r="L86" s="69">
        <v>0</v>
      </c>
      <c r="M86" s="70">
        <v>0</v>
      </c>
      <c r="N86" s="71">
        <v>0</v>
      </c>
      <c r="O86" s="72">
        <v>0</v>
      </c>
      <c r="P86" s="73">
        <v>0</v>
      </c>
      <c r="Q86" s="74">
        <v>0</v>
      </c>
      <c r="R86" s="75">
        <v>0</v>
      </c>
      <c r="S86" s="76">
        <v>0</v>
      </c>
      <c r="T86" s="77">
        <v>0</v>
      </c>
      <c r="U86" s="78">
        <v>0</v>
      </c>
      <c r="V86" s="79">
        <v>8</v>
      </c>
      <c r="W86" s="39">
        <v>6.8419095688080702</v>
      </c>
      <c r="X86" s="39">
        <v>79.863678156964795</v>
      </c>
    </row>
    <row r="87" spans="1:24" x14ac:dyDescent="0.3">
      <c r="A87" s="58" t="s">
        <v>195</v>
      </c>
      <c r="B87" s="59">
        <v>79</v>
      </c>
      <c r="C87" s="60">
        <v>83.16</v>
      </c>
      <c r="D87" s="61">
        <v>5</v>
      </c>
      <c r="E87" s="62">
        <v>5.26</v>
      </c>
      <c r="F87" s="63">
        <v>11</v>
      </c>
      <c r="G87" s="64">
        <v>11.58</v>
      </c>
      <c r="H87" s="65">
        <v>0</v>
      </c>
      <c r="I87" s="66">
        <v>0</v>
      </c>
      <c r="J87" s="67">
        <v>0</v>
      </c>
      <c r="K87" s="68">
        <v>0</v>
      </c>
      <c r="L87" s="69">
        <v>0</v>
      </c>
      <c r="M87" s="70">
        <v>0</v>
      </c>
      <c r="N87" s="71">
        <v>0</v>
      </c>
      <c r="O87" s="72">
        <v>0</v>
      </c>
      <c r="P87" s="73">
        <v>0</v>
      </c>
      <c r="Q87" s="74">
        <v>0</v>
      </c>
      <c r="R87" s="75">
        <v>0</v>
      </c>
      <c r="S87" s="76">
        <v>0</v>
      </c>
      <c r="T87" s="77">
        <v>0</v>
      </c>
      <c r="U87" s="78">
        <v>0</v>
      </c>
      <c r="V87" s="79">
        <v>95</v>
      </c>
      <c r="W87" s="39">
        <v>6.83022277274359</v>
      </c>
      <c r="X87" s="39">
        <v>79.865656084698003</v>
      </c>
    </row>
    <row r="88" spans="1:24" x14ac:dyDescent="0.3">
      <c r="A88" s="58" t="s">
        <v>196</v>
      </c>
      <c r="B88" s="59">
        <v>4</v>
      </c>
      <c r="C88" s="60">
        <v>80</v>
      </c>
      <c r="D88" s="61">
        <v>0</v>
      </c>
      <c r="E88" s="62">
        <v>0</v>
      </c>
      <c r="F88" s="63">
        <v>0</v>
      </c>
      <c r="G88" s="64">
        <v>0</v>
      </c>
      <c r="H88" s="65">
        <v>0</v>
      </c>
      <c r="I88" s="66">
        <v>0</v>
      </c>
      <c r="J88" s="67">
        <v>0</v>
      </c>
      <c r="K88" s="68">
        <v>0</v>
      </c>
      <c r="L88" s="69">
        <v>0</v>
      </c>
      <c r="M88" s="70">
        <v>0</v>
      </c>
      <c r="N88" s="71">
        <v>0</v>
      </c>
      <c r="O88" s="72">
        <v>0</v>
      </c>
      <c r="P88" s="73">
        <v>0</v>
      </c>
      <c r="Q88" s="74">
        <v>0</v>
      </c>
      <c r="R88" s="75">
        <v>0</v>
      </c>
      <c r="S88" s="76">
        <v>0</v>
      </c>
      <c r="T88" s="77">
        <v>1</v>
      </c>
      <c r="U88" s="78">
        <v>20</v>
      </c>
      <c r="V88" s="79">
        <v>5</v>
      </c>
      <c r="W88" s="39">
        <v>6.8498378056296598</v>
      </c>
      <c r="X88" s="39">
        <v>79.864204779060799</v>
      </c>
    </row>
    <row r="89" spans="1:24" x14ac:dyDescent="0.3">
      <c r="A89" s="58" t="s">
        <v>197</v>
      </c>
      <c r="B89" s="59">
        <v>92</v>
      </c>
      <c r="C89" s="60">
        <v>93.88</v>
      </c>
      <c r="D89" s="61">
        <v>2</v>
      </c>
      <c r="E89" s="62">
        <v>2.04</v>
      </c>
      <c r="F89" s="63">
        <v>4</v>
      </c>
      <c r="G89" s="64">
        <v>4.08</v>
      </c>
      <c r="H89" s="65">
        <v>0</v>
      </c>
      <c r="I89" s="66">
        <v>0</v>
      </c>
      <c r="J89" s="67">
        <v>0</v>
      </c>
      <c r="K89" s="68">
        <v>0</v>
      </c>
      <c r="L89" s="69">
        <v>0</v>
      </c>
      <c r="M89" s="70">
        <v>0</v>
      </c>
      <c r="N89" s="71">
        <v>0</v>
      </c>
      <c r="O89" s="72">
        <v>0</v>
      </c>
      <c r="P89" s="73">
        <v>0</v>
      </c>
      <c r="Q89" s="74">
        <v>0</v>
      </c>
      <c r="R89" s="75">
        <v>0</v>
      </c>
      <c r="S89" s="76">
        <v>0</v>
      </c>
      <c r="T89" s="77">
        <v>0</v>
      </c>
      <c r="U89" s="78">
        <v>0</v>
      </c>
      <c r="V89" s="79">
        <v>98</v>
      </c>
      <c r="W89" s="39">
        <v>6.8498378056296598</v>
      </c>
      <c r="X89" s="39">
        <v>79.864204779060799</v>
      </c>
    </row>
    <row r="90" spans="1:24" x14ac:dyDescent="0.3">
      <c r="A90" s="58" t="s">
        <v>198</v>
      </c>
      <c r="B90" s="59">
        <v>39</v>
      </c>
      <c r="C90" s="60">
        <v>75</v>
      </c>
      <c r="D90" s="61">
        <v>6</v>
      </c>
      <c r="E90" s="62">
        <v>11.54</v>
      </c>
      <c r="F90" s="63">
        <v>7</v>
      </c>
      <c r="G90" s="64">
        <v>13.46</v>
      </c>
      <c r="H90" s="65">
        <v>0</v>
      </c>
      <c r="I90" s="66">
        <v>0</v>
      </c>
      <c r="J90" s="67">
        <v>0</v>
      </c>
      <c r="K90" s="68">
        <v>0</v>
      </c>
      <c r="L90" s="69">
        <v>0</v>
      </c>
      <c r="M90" s="70">
        <v>0</v>
      </c>
      <c r="N90" s="71">
        <v>0</v>
      </c>
      <c r="O90" s="72">
        <v>0</v>
      </c>
      <c r="P90" s="73">
        <v>0</v>
      </c>
      <c r="Q90" s="74">
        <v>0</v>
      </c>
      <c r="R90" s="75">
        <v>0</v>
      </c>
      <c r="S90" s="76">
        <v>0</v>
      </c>
      <c r="T90" s="77">
        <v>0</v>
      </c>
      <c r="U90" s="78">
        <v>0</v>
      </c>
      <c r="V90" s="79">
        <v>52</v>
      </c>
      <c r="W90" s="39">
        <v>6.8519488828871102</v>
      </c>
      <c r="X90" s="39">
        <v>79.863250458797694</v>
      </c>
    </row>
    <row r="91" spans="1:24" x14ac:dyDescent="0.3">
      <c r="A91" s="58" t="s">
        <v>199</v>
      </c>
      <c r="B91" s="59">
        <v>22</v>
      </c>
      <c r="C91" s="60">
        <v>95.65</v>
      </c>
      <c r="D91" s="61">
        <v>0</v>
      </c>
      <c r="E91" s="62">
        <v>0</v>
      </c>
      <c r="F91" s="63">
        <v>1</v>
      </c>
      <c r="G91" s="64">
        <v>4.3499999999999996</v>
      </c>
      <c r="H91" s="65">
        <v>0</v>
      </c>
      <c r="I91" s="66">
        <v>0</v>
      </c>
      <c r="J91" s="67">
        <v>0</v>
      </c>
      <c r="K91" s="68">
        <v>0</v>
      </c>
      <c r="L91" s="69">
        <v>0</v>
      </c>
      <c r="M91" s="70">
        <v>0</v>
      </c>
      <c r="N91" s="71">
        <v>0</v>
      </c>
      <c r="O91" s="72">
        <v>0</v>
      </c>
      <c r="P91" s="73">
        <v>0</v>
      </c>
      <c r="Q91" s="74">
        <v>0</v>
      </c>
      <c r="R91" s="75">
        <v>0</v>
      </c>
      <c r="S91" s="76">
        <v>0</v>
      </c>
      <c r="T91" s="77">
        <v>0</v>
      </c>
      <c r="U91" s="78">
        <v>0</v>
      </c>
      <c r="V91" s="79">
        <v>23</v>
      </c>
      <c r="W91" s="39">
        <v>6.8519488828871102</v>
      </c>
      <c r="X91" s="39">
        <v>79.863250458797694</v>
      </c>
    </row>
    <row r="92" spans="1:24" x14ac:dyDescent="0.3">
      <c r="A92" s="58" t="s">
        <v>200</v>
      </c>
      <c r="B92" s="59">
        <v>199</v>
      </c>
      <c r="C92" s="60">
        <v>93.87</v>
      </c>
      <c r="D92" s="61">
        <v>2</v>
      </c>
      <c r="E92" s="62">
        <v>0.94</v>
      </c>
      <c r="F92" s="63">
        <v>10</v>
      </c>
      <c r="G92" s="64">
        <v>4.72</v>
      </c>
      <c r="H92" s="65">
        <v>0</v>
      </c>
      <c r="I92" s="66">
        <v>0</v>
      </c>
      <c r="J92" s="67">
        <v>0</v>
      </c>
      <c r="K92" s="68">
        <v>0</v>
      </c>
      <c r="L92" s="69">
        <v>0</v>
      </c>
      <c r="M92" s="70">
        <v>0</v>
      </c>
      <c r="N92" s="71">
        <v>0</v>
      </c>
      <c r="O92" s="72">
        <v>0</v>
      </c>
      <c r="P92" s="73">
        <v>0</v>
      </c>
      <c r="Q92" s="74">
        <v>0</v>
      </c>
      <c r="R92" s="75">
        <v>0</v>
      </c>
      <c r="S92" s="76">
        <v>0</v>
      </c>
      <c r="T92" s="77">
        <v>1</v>
      </c>
      <c r="U92" s="78">
        <v>0.47</v>
      </c>
      <c r="V92" s="79">
        <v>212</v>
      </c>
      <c r="W92" s="39">
        <v>6.8432236725023197</v>
      </c>
      <c r="X92" s="39">
        <v>79.864378429551607</v>
      </c>
    </row>
    <row r="93" spans="1:24" x14ac:dyDescent="0.3">
      <c r="A93" s="58" t="s">
        <v>201</v>
      </c>
      <c r="B93" s="59">
        <v>107</v>
      </c>
      <c r="C93" s="60">
        <v>88.43</v>
      </c>
      <c r="D93" s="61">
        <v>6</v>
      </c>
      <c r="E93" s="62">
        <v>4.96</v>
      </c>
      <c r="F93" s="63">
        <v>6</v>
      </c>
      <c r="G93" s="64">
        <v>4.96</v>
      </c>
      <c r="H93" s="65">
        <v>0</v>
      </c>
      <c r="I93" s="66">
        <v>0</v>
      </c>
      <c r="J93" s="67">
        <v>0</v>
      </c>
      <c r="K93" s="68">
        <v>0</v>
      </c>
      <c r="L93" s="69">
        <v>0</v>
      </c>
      <c r="M93" s="70">
        <v>0</v>
      </c>
      <c r="N93" s="71">
        <v>0</v>
      </c>
      <c r="O93" s="72">
        <v>0</v>
      </c>
      <c r="P93" s="73">
        <v>0</v>
      </c>
      <c r="Q93" s="74">
        <v>0</v>
      </c>
      <c r="R93" s="75">
        <v>0</v>
      </c>
      <c r="S93" s="76">
        <v>0</v>
      </c>
      <c r="T93" s="77">
        <v>2</v>
      </c>
      <c r="U93" s="78">
        <v>1.65</v>
      </c>
      <c r="V93" s="79">
        <v>121</v>
      </c>
      <c r="W93" s="39">
        <v>6.8445650436115804</v>
      </c>
      <c r="X93" s="39">
        <v>79.8631730300973</v>
      </c>
    </row>
    <row r="94" spans="1:24" x14ac:dyDescent="0.3">
      <c r="A94" s="58" t="s">
        <v>202</v>
      </c>
      <c r="B94" s="59">
        <v>284</v>
      </c>
      <c r="C94" s="60">
        <v>89.59</v>
      </c>
      <c r="D94" s="61">
        <v>10</v>
      </c>
      <c r="E94" s="62">
        <v>3.15</v>
      </c>
      <c r="F94" s="63">
        <v>21</v>
      </c>
      <c r="G94" s="64">
        <v>6.62</v>
      </c>
      <c r="H94" s="65">
        <v>0</v>
      </c>
      <c r="I94" s="66">
        <v>0</v>
      </c>
      <c r="J94" s="67">
        <v>1</v>
      </c>
      <c r="K94" s="68">
        <v>0.32</v>
      </c>
      <c r="L94" s="69">
        <v>0</v>
      </c>
      <c r="M94" s="70">
        <v>0</v>
      </c>
      <c r="N94" s="71">
        <v>0</v>
      </c>
      <c r="O94" s="72">
        <v>0</v>
      </c>
      <c r="P94" s="73">
        <v>0</v>
      </c>
      <c r="Q94" s="74">
        <v>0</v>
      </c>
      <c r="R94" s="75">
        <v>0</v>
      </c>
      <c r="S94" s="76">
        <v>0</v>
      </c>
      <c r="T94" s="77">
        <v>1</v>
      </c>
      <c r="U94" s="78">
        <v>0.32</v>
      </c>
      <c r="V94" s="79">
        <v>317</v>
      </c>
      <c r="W94" s="39">
        <v>6.8445650436115804</v>
      </c>
      <c r="X94" s="39">
        <v>79.8631730300973</v>
      </c>
    </row>
    <row r="95" spans="1:24" x14ac:dyDescent="0.3">
      <c r="A95" s="58" t="s">
        <v>80</v>
      </c>
      <c r="B95" s="59">
        <v>54</v>
      </c>
      <c r="C95" s="60">
        <v>96.43</v>
      </c>
      <c r="D95" s="61">
        <v>1</v>
      </c>
      <c r="E95" s="62">
        <v>1.79</v>
      </c>
      <c r="F95" s="63">
        <v>1</v>
      </c>
      <c r="G95" s="64">
        <v>1.79</v>
      </c>
      <c r="H95" s="65">
        <v>0</v>
      </c>
      <c r="I95" s="66">
        <v>0</v>
      </c>
      <c r="J95" s="67">
        <v>0</v>
      </c>
      <c r="K95" s="68">
        <v>0</v>
      </c>
      <c r="L95" s="69">
        <v>0</v>
      </c>
      <c r="M95" s="70">
        <v>0</v>
      </c>
      <c r="N95" s="71">
        <v>0</v>
      </c>
      <c r="O95" s="72">
        <v>0</v>
      </c>
      <c r="P95" s="73">
        <v>0</v>
      </c>
      <c r="Q95" s="74">
        <v>0</v>
      </c>
      <c r="R95" s="75">
        <v>0</v>
      </c>
      <c r="S95" s="76">
        <v>0</v>
      </c>
      <c r="T95" s="77">
        <v>0</v>
      </c>
      <c r="U95" s="78">
        <v>0</v>
      </c>
      <c r="V95" s="79">
        <v>56</v>
      </c>
      <c r="W95" s="39">
        <v>6.8372259086875102</v>
      </c>
      <c r="X95" s="39">
        <v>79.870735060867005</v>
      </c>
    </row>
    <row r="96" spans="1:24" x14ac:dyDescent="0.3">
      <c r="A96" s="58" t="s">
        <v>203</v>
      </c>
      <c r="B96" s="59">
        <v>45</v>
      </c>
      <c r="C96" s="60">
        <v>93.75</v>
      </c>
      <c r="D96" s="61">
        <v>2</v>
      </c>
      <c r="E96" s="62">
        <v>4.17</v>
      </c>
      <c r="F96" s="63">
        <v>1</v>
      </c>
      <c r="G96" s="64">
        <v>2.08</v>
      </c>
      <c r="H96" s="65">
        <v>0</v>
      </c>
      <c r="I96" s="66">
        <v>0</v>
      </c>
      <c r="J96" s="67">
        <v>0</v>
      </c>
      <c r="K96" s="68">
        <v>0</v>
      </c>
      <c r="L96" s="69">
        <v>0</v>
      </c>
      <c r="M96" s="70">
        <v>0</v>
      </c>
      <c r="N96" s="71">
        <v>0</v>
      </c>
      <c r="O96" s="72">
        <v>0</v>
      </c>
      <c r="P96" s="73">
        <v>0</v>
      </c>
      <c r="Q96" s="74">
        <v>0</v>
      </c>
      <c r="R96" s="75">
        <v>0</v>
      </c>
      <c r="S96" s="76">
        <v>0</v>
      </c>
      <c r="T96" s="77">
        <v>0</v>
      </c>
      <c r="U96" s="78">
        <v>0</v>
      </c>
      <c r="V96" s="79">
        <v>48</v>
      </c>
      <c r="W96" s="39">
        <v>6.8372259086875102</v>
      </c>
      <c r="X96" s="39">
        <v>79.870735060867005</v>
      </c>
    </row>
    <row r="97" spans="1:24" x14ac:dyDescent="0.3">
      <c r="A97" s="58" t="s">
        <v>204</v>
      </c>
      <c r="B97" s="59">
        <v>119</v>
      </c>
      <c r="C97" s="60">
        <v>92.97</v>
      </c>
      <c r="D97" s="61">
        <v>1</v>
      </c>
      <c r="E97" s="62">
        <v>0.78</v>
      </c>
      <c r="F97" s="63">
        <v>6</v>
      </c>
      <c r="G97" s="64">
        <v>4.6900000000000004</v>
      </c>
      <c r="H97" s="65">
        <v>0</v>
      </c>
      <c r="I97" s="66">
        <v>0</v>
      </c>
      <c r="J97" s="67">
        <v>0</v>
      </c>
      <c r="K97" s="68">
        <v>0</v>
      </c>
      <c r="L97" s="69">
        <v>0</v>
      </c>
      <c r="M97" s="70">
        <v>0</v>
      </c>
      <c r="N97" s="71">
        <v>0</v>
      </c>
      <c r="O97" s="72">
        <v>0</v>
      </c>
      <c r="P97" s="73">
        <v>0</v>
      </c>
      <c r="Q97" s="74">
        <v>0</v>
      </c>
      <c r="R97" s="75">
        <v>2</v>
      </c>
      <c r="S97" s="76">
        <v>1.56</v>
      </c>
      <c r="T97" s="77">
        <v>0</v>
      </c>
      <c r="U97" s="78">
        <v>0</v>
      </c>
      <c r="V97" s="79">
        <v>128</v>
      </c>
      <c r="W97" s="39">
        <v>6.8585447798345998</v>
      </c>
      <c r="X97" s="39">
        <v>79.866488929912705</v>
      </c>
    </row>
    <row r="98" spans="1:24" x14ac:dyDescent="0.3">
      <c r="A98" s="58" t="s">
        <v>205</v>
      </c>
      <c r="B98" s="59">
        <v>58</v>
      </c>
      <c r="C98" s="60">
        <v>86.57</v>
      </c>
      <c r="D98" s="61">
        <v>5</v>
      </c>
      <c r="E98" s="62">
        <v>7.46</v>
      </c>
      <c r="F98" s="63">
        <v>3</v>
      </c>
      <c r="G98" s="64">
        <v>4.4800000000000004</v>
      </c>
      <c r="H98" s="65">
        <v>0</v>
      </c>
      <c r="I98" s="66">
        <v>0</v>
      </c>
      <c r="J98" s="67">
        <v>0</v>
      </c>
      <c r="K98" s="68">
        <v>0</v>
      </c>
      <c r="L98" s="69">
        <v>0</v>
      </c>
      <c r="M98" s="70">
        <v>0</v>
      </c>
      <c r="N98" s="71">
        <v>0</v>
      </c>
      <c r="O98" s="72">
        <v>0</v>
      </c>
      <c r="P98" s="73">
        <v>0</v>
      </c>
      <c r="Q98" s="74">
        <v>0</v>
      </c>
      <c r="R98" s="75">
        <v>0</v>
      </c>
      <c r="S98" s="76">
        <v>0</v>
      </c>
      <c r="T98" s="77">
        <v>1</v>
      </c>
      <c r="U98" s="78">
        <v>1.49</v>
      </c>
      <c r="V98" s="79">
        <v>67</v>
      </c>
      <c r="W98" s="39">
        <v>6.8585447798345998</v>
      </c>
      <c r="X98" s="39">
        <v>79.866488929912705</v>
      </c>
    </row>
    <row r="99" spans="1:24" x14ac:dyDescent="0.3">
      <c r="A99" s="58" t="s">
        <v>206</v>
      </c>
      <c r="B99" s="59">
        <v>118</v>
      </c>
      <c r="C99" s="60">
        <v>88.06</v>
      </c>
      <c r="D99" s="61">
        <v>7</v>
      </c>
      <c r="E99" s="62">
        <v>5.22</v>
      </c>
      <c r="F99" s="63">
        <v>9</v>
      </c>
      <c r="G99" s="64">
        <v>6.72</v>
      </c>
      <c r="H99" s="65">
        <v>0</v>
      </c>
      <c r="I99" s="66">
        <v>0</v>
      </c>
      <c r="J99" s="67">
        <v>0</v>
      </c>
      <c r="K99" s="68">
        <v>0</v>
      </c>
      <c r="L99" s="69">
        <v>0</v>
      </c>
      <c r="M99" s="70">
        <v>0</v>
      </c>
      <c r="N99" s="71">
        <v>0</v>
      </c>
      <c r="O99" s="72">
        <v>0</v>
      </c>
      <c r="P99" s="73">
        <v>0</v>
      </c>
      <c r="Q99" s="74">
        <v>0</v>
      </c>
      <c r="R99" s="75">
        <v>0</v>
      </c>
      <c r="S99" s="76">
        <v>0</v>
      </c>
      <c r="T99" s="77">
        <v>0</v>
      </c>
      <c r="U99" s="78">
        <v>0</v>
      </c>
      <c r="V99" s="79">
        <v>134</v>
      </c>
      <c r="W99" s="39">
        <v>6.8284770107413699</v>
      </c>
      <c r="X99" s="39">
        <v>79.866106214738494</v>
      </c>
    </row>
    <row r="100" spans="1:24" x14ac:dyDescent="0.3">
      <c r="A100" s="58" t="s">
        <v>207</v>
      </c>
      <c r="B100" s="59">
        <v>121</v>
      </c>
      <c r="C100" s="60">
        <v>87.05</v>
      </c>
      <c r="D100" s="61">
        <v>3</v>
      </c>
      <c r="E100" s="62">
        <v>2.16</v>
      </c>
      <c r="F100" s="63">
        <v>13</v>
      </c>
      <c r="G100" s="64">
        <v>9.35</v>
      </c>
      <c r="H100" s="65">
        <v>0</v>
      </c>
      <c r="I100" s="66">
        <v>0</v>
      </c>
      <c r="J100" s="67">
        <v>0</v>
      </c>
      <c r="K100" s="68">
        <v>0</v>
      </c>
      <c r="L100" s="69">
        <v>0</v>
      </c>
      <c r="M100" s="70">
        <v>0</v>
      </c>
      <c r="N100" s="71">
        <v>0</v>
      </c>
      <c r="O100" s="72">
        <v>0</v>
      </c>
      <c r="P100" s="73">
        <v>0</v>
      </c>
      <c r="Q100" s="74">
        <v>0</v>
      </c>
      <c r="R100" s="75">
        <v>1</v>
      </c>
      <c r="S100" s="76">
        <v>0.72</v>
      </c>
      <c r="T100" s="77">
        <v>1</v>
      </c>
      <c r="U100" s="78">
        <v>0.72</v>
      </c>
      <c r="V100" s="79">
        <v>139</v>
      </c>
      <c r="W100" s="39">
        <v>6.8284770107413699</v>
      </c>
      <c r="X100" s="39">
        <v>79.866106214738494</v>
      </c>
    </row>
    <row r="101" spans="1:24" x14ac:dyDescent="0.3">
      <c r="A101" s="58" t="s">
        <v>208</v>
      </c>
      <c r="B101" s="59">
        <v>223</v>
      </c>
      <c r="C101" s="60">
        <v>84.79</v>
      </c>
      <c r="D101" s="61">
        <v>9</v>
      </c>
      <c r="E101" s="62">
        <v>3.42</v>
      </c>
      <c r="F101" s="63">
        <v>19</v>
      </c>
      <c r="G101" s="64">
        <v>7.22</v>
      </c>
      <c r="H101" s="65">
        <v>6</v>
      </c>
      <c r="I101" s="66">
        <v>2.2799999999999998</v>
      </c>
      <c r="J101" s="67">
        <v>0</v>
      </c>
      <c r="K101" s="68">
        <v>0</v>
      </c>
      <c r="L101" s="69">
        <v>0</v>
      </c>
      <c r="M101" s="70">
        <v>0</v>
      </c>
      <c r="N101" s="71">
        <v>0</v>
      </c>
      <c r="O101" s="72">
        <v>0</v>
      </c>
      <c r="P101" s="73">
        <v>0</v>
      </c>
      <c r="Q101" s="74">
        <v>0</v>
      </c>
      <c r="R101" s="75">
        <v>2</v>
      </c>
      <c r="S101" s="76">
        <v>0.76</v>
      </c>
      <c r="T101" s="77">
        <v>4</v>
      </c>
      <c r="U101" s="78">
        <v>1.52</v>
      </c>
      <c r="V101" s="79">
        <v>263</v>
      </c>
      <c r="W101" s="39">
        <v>6.8271316578890504</v>
      </c>
      <c r="X101" s="39">
        <v>79.866463753308295</v>
      </c>
    </row>
    <row r="102" spans="1:24" x14ac:dyDescent="0.3">
      <c r="A102" s="58" t="s">
        <v>209</v>
      </c>
      <c r="B102" s="59">
        <v>304</v>
      </c>
      <c r="C102" s="60">
        <v>79.17</v>
      </c>
      <c r="D102" s="61">
        <v>24</v>
      </c>
      <c r="E102" s="62">
        <v>6.25</v>
      </c>
      <c r="F102" s="63">
        <v>26</v>
      </c>
      <c r="G102" s="64">
        <v>6.77</v>
      </c>
      <c r="H102" s="65">
        <v>26</v>
      </c>
      <c r="I102" s="66">
        <v>6.77</v>
      </c>
      <c r="J102" s="67">
        <v>0</v>
      </c>
      <c r="K102" s="68">
        <v>0</v>
      </c>
      <c r="L102" s="69">
        <v>0</v>
      </c>
      <c r="M102" s="70">
        <v>0</v>
      </c>
      <c r="N102" s="71">
        <v>0</v>
      </c>
      <c r="O102" s="72">
        <v>0</v>
      </c>
      <c r="P102" s="73">
        <v>0</v>
      </c>
      <c r="Q102" s="74">
        <v>0</v>
      </c>
      <c r="R102" s="75">
        <v>0</v>
      </c>
      <c r="S102" s="76">
        <v>0</v>
      </c>
      <c r="T102" s="77">
        <v>4</v>
      </c>
      <c r="U102" s="78">
        <v>1.04</v>
      </c>
      <c r="V102" s="79">
        <v>384</v>
      </c>
      <c r="W102" s="39">
        <v>6.8271316578890504</v>
      </c>
      <c r="X102" s="39">
        <v>79.866463753308295</v>
      </c>
    </row>
    <row r="103" spans="1:24" x14ac:dyDescent="0.3">
      <c r="A103" s="58" t="s">
        <v>210</v>
      </c>
      <c r="B103" s="59">
        <v>74</v>
      </c>
      <c r="C103" s="60">
        <v>66.67</v>
      </c>
      <c r="D103" s="61">
        <v>21</v>
      </c>
      <c r="E103" s="62">
        <v>18.920000000000002</v>
      </c>
      <c r="F103" s="63">
        <v>13</v>
      </c>
      <c r="G103" s="64">
        <v>11.71</v>
      </c>
      <c r="H103" s="65">
        <v>1</v>
      </c>
      <c r="I103" s="66">
        <v>0.9</v>
      </c>
      <c r="J103" s="67">
        <v>0</v>
      </c>
      <c r="K103" s="68">
        <v>0</v>
      </c>
      <c r="L103" s="69">
        <v>0</v>
      </c>
      <c r="M103" s="70">
        <v>0</v>
      </c>
      <c r="N103" s="71">
        <v>0</v>
      </c>
      <c r="O103" s="72">
        <v>0</v>
      </c>
      <c r="P103" s="73">
        <v>0</v>
      </c>
      <c r="Q103" s="74">
        <v>0</v>
      </c>
      <c r="R103" s="75">
        <v>0</v>
      </c>
      <c r="S103" s="76">
        <v>0</v>
      </c>
      <c r="T103" s="77">
        <v>2</v>
      </c>
      <c r="U103" s="78">
        <v>1.8</v>
      </c>
      <c r="V103" s="79">
        <v>111</v>
      </c>
      <c r="W103" s="39">
        <v>6.8512666354006102</v>
      </c>
      <c r="X103" s="39">
        <v>79.864241387741899</v>
      </c>
    </row>
    <row r="104" spans="1:24" x14ac:dyDescent="0.3">
      <c r="A104" s="58" t="s">
        <v>211</v>
      </c>
      <c r="B104" s="59">
        <v>101</v>
      </c>
      <c r="C104" s="60">
        <v>79.53</v>
      </c>
      <c r="D104" s="61">
        <v>19</v>
      </c>
      <c r="E104" s="62">
        <v>14.96</v>
      </c>
      <c r="F104" s="63">
        <v>3</v>
      </c>
      <c r="G104" s="64">
        <v>2.36</v>
      </c>
      <c r="H104" s="65">
        <v>1</v>
      </c>
      <c r="I104" s="66">
        <v>0.79</v>
      </c>
      <c r="J104" s="67">
        <v>0</v>
      </c>
      <c r="K104" s="68">
        <v>0</v>
      </c>
      <c r="L104" s="69">
        <v>0</v>
      </c>
      <c r="M104" s="70">
        <v>0</v>
      </c>
      <c r="N104" s="71">
        <v>0</v>
      </c>
      <c r="O104" s="72">
        <v>0</v>
      </c>
      <c r="P104" s="73">
        <v>0</v>
      </c>
      <c r="Q104" s="74">
        <v>0</v>
      </c>
      <c r="R104" s="75">
        <v>1</v>
      </c>
      <c r="S104" s="76">
        <v>0.79</v>
      </c>
      <c r="T104" s="77">
        <v>2</v>
      </c>
      <c r="U104" s="78">
        <v>1.57</v>
      </c>
      <c r="V104" s="79">
        <v>127</v>
      </c>
      <c r="W104" s="39">
        <v>6.8512666354006102</v>
      </c>
      <c r="X104" s="39">
        <v>79.864241387741899</v>
      </c>
    </row>
    <row r="105" spans="1:24" x14ac:dyDescent="0.3">
      <c r="A105" s="58" t="s">
        <v>212</v>
      </c>
      <c r="B105" s="59">
        <v>40</v>
      </c>
      <c r="C105" s="60">
        <v>90.91</v>
      </c>
      <c r="D105" s="61">
        <v>2</v>
      </c>
      <c r="E105" s="62">
        <v>4.55</v>
      </c>
      <c r="F105" s="63">
        <v>2</v>
      </c>
      <c r="G105" s="64">
        <v>4.55</v>
      </c>
      <c r="H105" s="65">
        <v>0</v>
      </c>
      <c r="I105" s="66">
        <v>0</v>
      </c>
      <c r="J105" s="67">
        <v>0</v>
      </c>
      <c r="K105" s="68">
        <v>0</v>
      </c>
      <c r="L105" s="69">
        <v>0</v>
      </c>
      <c r="M105" s="70">
        <v>0</v>
      </c>
      <c r="N105" s="71">
        <v>0</v>
      </c>
      <c r="O105" s="72">
        <v>0</v>
      </c>
      <c r="P105" s="73">
        <v>0</v>
      </c>
      <c r="Q105" s="74">
        <v>0</v>
      </c>
      <c r="R105" s="75">
        <v>0</v>
      </c>
      <c r="S105" s="76">
        <v>0</v>
      </c>
      <c r="T105" s="77">
        <v>0</v>
      </c>
      <c r="U105" s="78">
        <v>0</v>
      </c>
      <c r="V105" s="79">
        <v>44</v>
      </c>
      <c r="W105" s="39">
        <v>6.8408521027250098</v>
      </c>
      <c r="X105" s="39">
        <v>79.868626103582102</v>
      </c>
    </row>
    <row r="106" spans="1:24" x14ac:dyDescent="0.3">
      <c r="A106" s="58" t="s">
        <v>213</v>
      </c>
      <c r="B106" s="59">
        <v>24</v>
      </c>
      <c r="C106" s="60">
        <v>85.71</v>
      </c>
      <c r="D106" s="61">
        <v>0</v>
      </c>
      <c r="E106" s="62">
        <v>0</v>
      </c>
      <c r="F106" s="63">
        <v>3</v>
      </c>
      <c r="G106" s="64">
        <v>10.71</v>
      </c>
      <c r="H106" s="65">
        <v>0</v>
      </c>
      <c r="I106" s="66">
        <v>0</v>
      </c>
      <c r="J106" s="67">
        <v>0</v>
      </c>
      <c r="K106" s="68">
        <v>0</v>
      </c>
      <c r="L106" s="69">
        <v>0</v>
      </c>
      <c r="M106" s="70">
        <v>0</v>
      </c>
      <c r="N106" s="71">
        <v>0</v>
      </c>
      <c r="O106" s="72">
        <v>0</v>
      </c>
      <c r="P106" s="73">
        <v>0</v>
      </c>
      <c r="Q106" s="74">
        <v>0</v>
      </c>
      <c r="R106" s="75">
        <v>1</v>
      </c>
      <c r="S106" s="76">
        <v>3.57</v>
      </c>
      <c r="T106" s="77">
        <v>0</v>
      </c>
      <c r="U106" s="78">
        <v>0</v>
      </c>
      <c r="V106" s="79">
        <v>28</v>
      </c>
      <c r="W106" s="39">
        <v>6.8408521027250098</v>
      </c>
      <c r="X106" s="39">
        <v>79.868626103582102</v>
      </c>
    </row>
    <row r="107" spans="1:24" x14ac:dyDescent="0.3">
      <c r="A107" s="58" t="s">
        <v>214</v>
      </c>
      <c r="B107" s="59">
        <v>94</v>
      </c>
      <c r="C107" s="60">
        <v>89.52</v>
      </c>
      <c r="D107" s="61">
        <v>1</v>
      </c>
      <c r="E107" s="62">
        <v>0.95</v>
      </c>
      <c r="F107" s="63">
        <v>6</v>
      </c>
      <c r="G107" s="64">
        <v>5.71</v>
      </c>
      <c r="H107" s="65">
        <v>0</v>
      </c>
      <c r="I107" s="66">
        <v>0</v>
      </c>
      <c r="J107" s="67">
        <v>1</v>
      </c>
      <c r="K107" s="68">
        <v>0.95</v>
      </c>
      <c r="L107" s="69">
        <v>0</v>
      </c>
      <c r="M107" s="70">
        <v>0</v>
      </c>
      <c r="N107" s="71">
        <v>0</v>
      </c>
      <c r="O107" s="72">
        <v>0</v>
      </c>
      <c r="P107" s="73">
        <v>0</v>
      </c>
      <c r="Q107" s="74">
        <v>0</v>
      </c>
      <c r="R107" s="75">
        <v>3</v>
      </c>
      <c r="S107" s="76">
        <v>2.86</v>
      </c>
      <c r="T107" s="77">
        <v>0</v>
      </c>
      <c r="U107" s="78">
        <v>0</v>
      </c>
      <c r="V107" s="79">
        <v>105</v>
      </c>
      <c r="W107" s="39">
        <v>6.8408521027250098</v>
      </c>
      <c r="X107" s="39">
        <v>79.868626103582102</v>
      </c>
    </row>
    <row r="108" spans="1:24" x14ac:dyDescent="0.3">
      <c r="A108" s="58" t="s">
        <v>215</v>
      </c>
      <c r="B108" s="59">
        <v>77</v>
      </c>
      <c r="C108" s="60">
        <v>89.53</v>
      </c>
      <c r="D108" s="61">
        <v>5</v>
      </c>
      <c r="E108" s="62">
        <v>5.81</v>
      </c>
      <c r="F108" s="63">
        <v>3</v>
      </c>
      <c r="G108" s="64">
        <v>3.49</v>
      </c>
      <c r="H108" s="65">
        <v>0</v>
      </c>
      <c r="I108" s="66">
        <v>0</v>
      </c>
      <c r="J108" s="67">
        <v>0</v>
      </c>
      <c r="K108" s="68">
        <v>0</v>
      </c>
      <c r="L108" s="69">
        <v>0</v>
      </c>
      <c r="M108" s="70">
        <v>0</v>
      </c>
      <c r="N108" s="71">
        <v>0</v>
      </c>
      <c r="O108" s="72">
        <v>0</v>
      </c>
      <c r="P108" s="73">
        <v>0</v>
      </c>
      <c r="Q108" s="74">
        <v>0</v>
      </c>
      <c r="R108" s="75">
        <v>1</v>
      </c>
      <c r="S108" s="76">
        <v>1.1599999999999999</v>
      </c>
      <c r="T108" s="77">
        <v>0</v>
      </c>
      <c r="U108" s="78">
        <v>0</v>
      </c>
      <c r="V108" s="79">
        <v>86</v>
      </c>
      <c r="W108" s="39">
        <v>6.8408521027250098</v>
      </c>
      <c r="X108" s="39">
        <v>79.868626103582102</v>
      </c>
    </row>
    <row r="109" spans="1:24" x14ac:dyDescent="0.3">
      <c r="A109" s="58" t="s">
        <v>216</v>
      </c>
      <c r="B109" s="59">
        <v>26</v>
      </c>
      <c r="C109" s="60">
        <v>76.47</v>
      </c>
      <c r="D109" s="61">
        <v>2</v>
      </c>
      <c r="E109" s="62">
        <v>5.88</v>
      </c>
      <c r="F109" s="63">
        <v>4</v>
      </c>
      <c r="G109" s="64">
        <v>11.76</v>
      </c>
      <c r="H109" s="65">
        <v>0</v>
      </c>
      <c r="I109" s="66">
        <v>0</v>
      </c>
      <c r="J109" s="67">
        <v>0</v>
      </c>
      <c r="K109" s="68">
        <v>0</v>
      </c>
      <c r="L109" s="69">
        <v>0</v>
      </c>
      <c r="M109" s="70">
        <v>0</v>
      </c>
      <c r="N109" s="71">
        <v>0</v>
      </c>
      <c r="O109" s="72">
        <v>0</v>
      </c>
      <c r="P109" s="73">
        <v>0</v>
      </c>
      <c r="Q109" s="74">
        <v>0</v>
      </c>
      <c r="R109" s="75">
        <v>2</v>
      </c>
      <c r="S109" s="76">
        <v>5.88</v>
      </c>
      <c r="T109" s="77">
        <v>0</v>
      </c>
      <c r="U109" s="78">
        <v>0</v>
      </c>
      <c r="V109" s="79">
        <v>34</v>
      </c>
      <c r="W109" s="39">
        <v>6.8312093300248096</v>
      </c>
      <c r="X109" s="39">
        <v>79.871018833108295</v>
      </c>
    </row>
    <row r="110" spans="1:24" x14ac:dyDescent="0.3">
      <c r="A110" s="58" t="s">
        <v>69</v>
      </c>
      <c r="B110" s="59">
        <v>61</v>
      </c>
      <c r="C110" s="60">
        <v>70.930000000000007</v>
      </c>
      <c r="D110" s="61">
        <v>1</v>
      </c>
      <c r="E110" s="62">
        <v>1.1599999999999999</v>
      </c>
      <c r="F110" s="63">
        <v>24</v>
      </c>
      <c r="G110" s="64">
        <v>27.91</v>
      </c>
      <c r="H110" s="65">
        <v>0</v>
      </c>
      <c r="I110" s="66">
        <v>0</v>
      </c>
      <c r="J110" s="67">
        <v>0</v>
      </c>
      <c r="K110" s="68">
        <v>0</v>
      </c>
      <c r="L110" s="69">
        <v>0</v>
      </c>
      <c r="M110" s="70">
        <v>0</v>
      </c>
      <c r="N110" s="71">
        <v>0</v>
      </c>
      <c r="O110" s="72">
        <v>0</v>
      </c>
      <c r="P110" s="73">
        <v>0</v>
      </c>
      <c r="Q110" s="74">
        <v>0</v>
      </c>
      <c r="R110" s="75">
        <v>0</v>
      </c>
      <c r="S110" s="76">
        <v>0</v>
      </c>
      <c r="T110" s="77">
        <v>0</v>
      </c>
      <c r="U110" s="78">
        <v>0</v>
      </c>
      <c r="V110" s="79">
        <v>86</v>
      </c>
      <c r="W110" s="39">
        <v>6.8312093300248096</v>
      </c>
      <c r="X110" s="39">
        <v>79.871018833108295</v>
      </c>
    </row>
    <row r="111" spans="1:24" x14ac:dyDescent="0.3">
      <c r="A111" s="58" t="s">
        <v>88</v>
      </c>
      <c r="B111" s="59">
        <v>60</v>
      </c>
      <c r="C111" s="60">
        <v>86.96</v>
      </c>
      <c r="D111" s="61">
        <v>5</v>
      </c>
      <c r="E111" s="62">
        <v>7.25</v>
      </c>
      <c r="F111" s="63">
        <v>3</v>
      </c>
      <c r="G111" s="64">
        <v>4.3499999999999996</v>
      </c>
      <c r="H111" s="65">
        <v>0</v>
      </c>
      <c r="I111" s="66">
        <v>0</v>
      </c>
      <c r="J111" s="67">
        <v>0</v>
      </c>
      <c r="K111" s="68">
        <v>0</v>
      </c>
      <c r="L111" s="69">
        <v>0</v>
      </c>
      <c r="M111" s="70">
        <v>0</v>
      </c>
      <c r="N111" s="71">
        <v>0</v>
      </c>
      <c r="O111" s="72">
        <v>0</v>
      </c>
      <c r="P111" s="73">
        <v>0</v>
      </c>
      <c r="Q111" s="74">
        <v>0</v>
      </c>
      <c r="R111" s="75">
        <v>0</v>
      </c>
      <c r="S111" s="76">
        <v>0</v>
      </c>
      <c r="T111" s="77">
        <v>1</v>
      </c>
      <c r="U111" s="78">
        <v>1.45</v>
      </c>
      <c r="V111" s="79">
        <v>69</v>
      </c>
      <c r="W111" s="80">
        <v>6.8321213867558503</v>
      </c>
      <c r="X111" s="39">
        <v>79.868995916441406</v>
      </c>
    </row>
    <row r="112" spans="1:24" x14ac:dyDescent="0.3">
      <c r="A112" s="58" t="s">
        <v>93</v>
      </c>
      <c r="B112" s="59">
        <v>37</v>
      </c>
      <c r="C112" s="60">
        <v>80.430000000000007</v>
      </c>
      <c r="D112" s="61">
        <v>0</v>
      </c>
      <c r="E112" s="62">
        <v>0</v>
      </c>
      <c r="F112" s="63">
        <v>9</v>
      </c>
      <c r="G112" s="64">
        <v>19.57</v>
      </c>
      <c r="H112" s="65">
        <v>0</v>
      </c>
      <c r="I112" s="66">
        <v>0</v>
      </c>
      <c r="J112" s="67">
        <v>0</v>
      </c>
      <c r="K112" s="68">
        <v>0</v>
      </c>
      <c r="L112" s="69">
        <v>0</v>
      </c>
      <c r="M112" s="70">
        <v>0</v>
      </c>
      <c r="N112" s="71">
        <v>0</v>
      </c>
      <c r="O112" s="72">
        <v>0</v>
      </c>
      <c r="P112" s="73">
        <v>0</v>
      </c>
      <c r="Q112" s="74">
        <v>0</v>
      </c>
      <c r="R112" s="75">
        <v>0</v>
      </c>
      <c r="S112" s="76">
        <v>0</v>
      </c>
      <c r="T112" s="77">
        <v>0</v>
      </c>
      <c r="U112" s="78">
        <v>0</v>
      </c>
      <c r="V112" s="79">
        <v>46</v>
      </c>
      <c r="W112" s="39">
        <v>6.8321213867558503</v>
      </c>
      <c r="X112" s="39">
        <v>79.868995916441406</v>
      </c>
    </row>
    <row r="113" spans="1:24" x14ac:dyDescent="0.3">
      <c r="A113" s="58" t="s">
        <v>68</v>
      </c>
      <c r="B113" s="59">
        <v>156</v>
      </c>
      <c r="C113" s="60">
        <v>80.83</v>
      </c>
      <c r="D113" s="61">
        <v>8</v>
      </c>
      <c r="E113" s="62">
        <v>4.1500000000000004</v>
      </c>
      <c r="F113" s="63">
        <v>28</v>
      </c>
      <c r="G113" s="64">
        <v>14.51</v>
      </c>
      <c r="H113" s="65">
        <v>0</v>
      </c>
      <c r="I113" s="66">
        <v>0</v>
      </c>
      <c r="J113" s="67">
        <v>0</v>
      </c>
      <c r="K113" s="68">
        <v>0</v>
      </c>
      <c r="L113" s="69">
        <v>0</v>
      </c>
      <c r="M113" s="70">
        <v>0</v>
      </c>
      <c r="N113" s="71">
        <v>0</v>
      </c>
      <c r="O113" s="72">
        <v>0</v>
      </c>
      <c r="P113" s="73">
        <v>0</v>
      </c>
      <c r="Q113" s="74">
        <v>0</v>
      </c>
      <c r="R113" s="75">
        <v>0</v>
      </c>
      <c r="S113" s="76">
        <v>0</v>
      </c>
      <c r="T113" s="77">
        <v>1</v>
      </c>
      <c r="U113" s="78">
        <v>0.52</v>
      </c>
      <c r="V113" s="79">
        <v>193</v>
      </c>
      <c r="W113" s="39">
        <v>6.8306915936373098</v>
      </c>
      <c r="X113" s="39">
        <v>79.869120068276501</v>
      </c>
    </row>
    <row r="114" spans="1:24" x14ac:dyDescent="0.3">
      <c r="A114" s="58" t="s">
        <v>74</v>
      </c>
      <c r="B114" s="59">
        <v>3</v>
      </c>
      <c r="C114" s="60">
        <v>100</v>
      </c>
      <c r="D114" s="61">
        <v>0</v>
      </c>
      <c r="E114" s="62">
        <v>0</v>
      </c>
      <c r="F114" s="63">
        <v>0</v>
      </c>
      <c r="G114" s="64">
        <v>0</v>
      </c>
      <c r="H114" s="65">
        <v>0</v>
      </c>
      <c r="I114" s="66">
        <v>0</v>
      </c>
      <c r="J114" s="67">
        <v>0</v>
      </c>
      <c r="K114" s="68">
        <v>0</v>
      </c>
      <c r="L114" s="69">
        <v>0</v>
      </c>
      <c r="M114" s="70">
        <v>0</v>
      </c>
      <c r="N114" s="71">
        <v>0</v>
      </c>
      <c r="O114" s="72">
        <v>0</v>
      </c>
      <c r="P114" s="73">
        <v>0</v>
      </c>
      <c r="Q114" s="74">
        <v>0</v>
      </c>
      <c r="R114" s="75">
        <v>0</v>
      </c>
      <c r="S114" s="76">
        <v>0</v>
      </c>
      <c r="T114" s="77">
        <v>0</v>
      </c>
      <c r="U114" s="78">
        <v>0</v>
      </c>
      <c r="V114" s="79">
        <v>3</v>
      </c>
      <c r="W114" s="39">
        <v>6.8307567702349399</v>
      </c>
      <c r="X114" s="39">
        <v>79.869526501484799</v>
      </c>
    </row>
    <row r="115" spans="1:24" x14ac:dyDescent="0.3">
      <c r="A115" s="58" t="s">
        <v>217</v>
      </c>
      <c r="B115" s="59">
        <v>14</v>
      </c>
      <c r="C115" s="60">
        <v>70</v>
      </c>
      <c r="D115" s="61">
        <v>4</v>
      </c>
      <c r="E115" s="62">
        <v>20</v>
      </c>
      <c r="F115" s="63">
        <v>2</v>
      </c>
      <c r="G115" s="64">
        <v>10</v>
      </c>
      <c r="H115" s="65">
        <v>0</v>
      </c>
      <c r="I115" s="66">
        <v>0</v>
      </c>
      <c r="J115" s="67">
        <v>0</v>
      </c>
      <c r="K115" s="68">
        <v>0</v>
      </c>
      <c r="L115" s="69">
        <v>0</v>
      </c>
      <c r="M115" s="70">
        <v>0</v>
      </c>
      <c r="N115" s="71">
        <v>0</v>
      </c>
      <c r="O115" s="72">
        <v>0</v>
      </c>
      <c r="P115" s="73">
        <v>0</v>
      </c>
      <c r="Q115" s="74">
        <v>0</v>
      </c>
      <c r="R115" s="75">
        <v>0</v>
      </c>
      <c r="S115" s="76">
        <v>0</v>
      </c>
      <c r="T115" s="77">
        <v>0</v>
      </c>
      <c r="U115" s="78">
        <v>0</v>
      </c>
      <c r="V115" s="79">
        <v>20</v>
      </c>
      <c r="W115" s="39">
        <v>6.8322210395532199</v>
      </c>
      <c r="X115" s="39">
        <v>79.876807329843004</v>
      </c>
    </row>
    <row r="116" spans="1:24" x14ac:dyDescent="0.3">
      <c r="A116" s="58" t="s">
        <v>218</v>
      </c>
      <c r="B116" s="59">
        <v>229</v>
      </c>
      <c r="C116" s="60">
        <v>81.209999999999994</v>
      </c>
      <c r="D116" s="61">
        <v>35</v>
      </c>
      <c r="E116" s="62">
        <v>12.41</v>
      </c>
      <c r="F116" s="63">
        <v>17</v>
      </c>
      <c r="G116" s="64">
        <v>6.03</v>
      </c>
      <c r="H116" s="65">
        <v>0</v>
      </c>
      <c r="I116" s="66">
        <v>0</v>
      </c>
      <c r="J116" s="67">
        <v>0</v>
      </c>
      <c r="K116" s="68">
        <v>0</v>
      </c>
      <c r="L116" s="69">
        <v>0</v>
      </c>
      <c r="M116" s="70">
        <v>0</v>
      </c>
      <c r="N116" s="71">
        <v>0</v>
      </c>
      <c r="O116" s="72">
        <v>0</v>
      </c>
      <c r="P116" s="73">
        <v>0</v>
      </c>
      <c r="Q116" s="74">
        <v>0</v>
      </c>
      <c r="R116" s="75">
        <v>0</v>
      </c>
      <c r="S116" s="76">
        <v>0</v>
      </c>
      <c r="T116" s="77">
        <v>1</v>
      </c>
      <c r="U116" s="78">
        <v>0.35</v>
      </c>
      <c r="V116" s="79">
        <v>282</v>
      </c>
      <c r="W116" s="39">
        <v>6.8322210395532199</v>
      </c>
      <c r="X116" s="39">
        <v>79.876807329843004</v>
      </c>
    </row>
    <row r="117" spans="1:24" x14ac:dyDescent="0.3">
      <c r="A117" s="58" t="s">
        <v>219</v>
      </c>
      <c r="B117" s="59">
        <v>65</v>
      </c>
      <c r="C117" s="60">
        <v>62.5</v>
      </c>
      <c r="D117" s="61">
        <v>25</v>
      </c>
      <c r="E117" s="62">
        <v>24.04</v>
      </c>
      <c r="F117" s="63">
        <v>10</v>
      </c>
      <c r="G117" s="64">
        <v>9.6199999999999992</v>
      </c>
      <c r="H117" s="65">
        <v>3</v>
      </c>
      <c r="I117" s="66">
        <v>2.88</v>
      </c>
      <c r="J117" s="67">
        <v>0</v>
      </c>
      <c r="K117" s="68">
        <v>0</v>
      </c>
      <c r="L117" s="69">
        <v>0</v>
      </c>
      <c r="M117" s="70">
        <v>0</v>
      </c>
      <c r="N117" s="71">
        <v>0</v>
      </c>
      <c r="O117" s="72">
        <v>0</v>
      </c>
      <c r="P117" s="73">
        <v>0</v>
      </c>
      <c r="Q117" s="74">
        <v>0</v>
      </c>
      <c r="R117" s="75">
        <v>1</v>
      </c>
      <c r="S117" s="76">
        <v>0.96</v>
      </c>
      <c r="T117" s="77">
        <v>0</v>
      </c>
      <c r="U117" s="78">
        <v>0</v>
      </c>
      <c r="V117" s="79">
        <v>104</v>
      </c>
      <c r="W117" s="39">
        <v>6.8322210395532199</v>
      </c>
      <c r="X117" s="39">
        <v>79.876807329843004</v>
      </c>
    </row>
    <row r="118" spans="1:24" x14ac:dyDescent="0.3">
      <c r="A118" s="58" t="s">
        <v>220</v>
      </c>
      <c r="B118" s="59">
        <v>122</v>
      </c>
      <c r="C118" s="60">
        <v>76.25</v>
      </c>
      <c r="D118" s="61">
        <v>19</v>
      </c>
      <c r="E118" s="62">
        <v>11.88</v>
      </c>
      <c r="F118" s="63">
        <v>15</v>
      </c>
      <c r="G118" s="64">
        <v>9.3800000000000008</v>
      </c>
      <c r="H118" s="65">
        <v>2</v>
      </c>
      <c r="I118" s="66">
        <v>1.25</v>
      </c>
      <c r="J118" s="67">
        <v>0</v>
      </c>
      <c r="K118" s="68">
        <v>0</v>
      </c>
      <c r="L118" s="69">
        <v>0</v>
      </c>
      <c r="M118" s="70">
        <v>0</v>
      </c>
      <c r="N118" s="71">
        <v>0</v>
      </c>
      <c r="O118" s="72">
        <v>0</v>
      </c>
      <c r="P118" s="73">
        <v>0</v>
      </c>
      <c r="Q118" s="74">
        <v>0</v>
      </c>
      <c r="R118" s="75">
        <v>1</v>
      </c>
      <c r="S118" s="76">
        <v>0.62</v>
      </c>
      <c r="T118" s="77">
        <v>1</v>
      </c>
      <c r="U118" s="78">
        <v>0.62</v>
      </c>
      <c r="V118" s="79">
        <v>160</v>
      </c>
      <c r="W118" s="39">
        <v>6.8322210395532199</v>
      </c>
      <c r="X118" s="39">
        <v>79.876807329843004</v>
      </c>
    </row>
    <row r="119" spans="1:24" x14ac:dyDescent="0.3">
      <c r="A119" s="58" t="s">
        <v>221</v>
      </c>
      <c r="B119" s="59">
        <v>151</v>
      </c>
      <c r="C119" s="60">
        <v>76.260000000000005</v>
      </c>
      <c r="D119" s="61">
        <v>21</v>
      </c>
      <c r="E119" s="62">
        <v>10.61</v>
      </c>
      <c r="F119" s="63">
        <v>26</v>
      </c>
      <c r="G119" s="64">
        <v>13.13</v>
      </c>
      <c r="H119" s="65">
        <v>0</v>
      </c>
      <c r="I119" s="66">
        <v>0</v>
      </c>
      <c r="J119" s="67">
        <v>0</v>
      </c>
      <c r="K119" s="68">
        <v>0</v>
      </c>
      <c r="L119" s="69">
        <v>0</v>
      </c>
      <c r="M119" s="70">
        <v>0</v>
      </c>
      <c r="N119" s="71">
        <v>0</v>
      </c>
      <c r="O119" s="72">
        <v>0</v>
      </c>
      <c r="P119" s="73">
        <v>0</v>
      </c>
      <c r="Q119" s="74">
        <v>0</v>
      </c>
      <c r="R119" s="75">
        <v>0</v>
      </c>
      <c r="S119" s="76">
        <v>0</v>
      </c>
      <c r="T119" s="77">
        <v>0</v>
      </c>
      <c r="U119" s="78">
        <v>0</v>
      </c>
      <c r="V119" s="79">
        <v>198</v>
      </c>
      <c r="W119" s="39">
        <v>6.8322210395532199</v>
      </c>
      <c r="X119" s="39">
        <v>79.876807329843004</v>
      </c>
    </row>
    <row r="120" spans="1:24" x14ac:dyDescent="0.3">
      <c r="A120" s="58" t="s">
        <v>222</v>
      </c>
      <c r="B120" s="59">
        <v>23</v>
      </c>
      <c r="C120" s="60">
        <v>79.31</v>
      </c>
      <c r="D120" s="61">
        <v>0</v>
      </c>
      <c r="E120" s="62">
        <v>0</v>
      </c>
      <c r="F120" s="63">
        <v>6</v>
      </c>
      <c r="G120" s="64">
        <v>20.69</v>
      </c>
      <c r="H120" s="65">
        <v>0</v>
      </c>
      <c r="I120" s="66">
        <v>0</v>
      </c>
      <c r="J120" s="67">
        <v>0</v>
      </c>
      <c r="K120" s="68">
        <v>0</v>
      </c>
      <c r="L120" s="69">
        <v>0</v>
      </c>
      <c r="M120" s="70">
        <v>0</v>
      </c>
      <c r="N120" s="71">
        <v>0</v>
      </c>
      <c r="O120" s="72">
        <v>0</v>
      </c>
      <c r="P120" s="73">
        <v>0</v>
      </c>
      <c r="Q120" s="74">
        <v>0</v>
      </c>
      <c r="R120" s="75">
        <v>0</v>
      </c>
      <c r="S120" s="76">
        <v>0</v>
      </c>
      <c r="T120" s="77">
        <v>0</v>
      </c>
      <c r="U120" s="78">
        <v>0</v>
      </c>
      <c r="V120" s="79">
        <v>29</v>
      </c>
      <c r="W120" s="39">
        <v>6.8322210395532199</v>
      </c>
      <c r="X120" s="39">
        <v>79.876807329843004</v>
      </c>
    </row>
    <row r="121" spans="1:24" x14ac:dyDescent="0.3">
      <c r="A121" s="58" t="s">
        <v>223</v>
      </c>
      <c r="B121" s="59">
        <v>376</v>
      </c>
      <c r="C121" s="60">
        <v>96.91</v>
      </c>
      <c r="D121" s="61">
        <v>2</v>
      </c>
      <c r="E121" s="62">
        <v>0.52</v>
      </c>
      <c r="F121" s="63">
        <v>10</v>
      </c>
      <c r="G121" s="64">
        <v>2.58</v>
      </c>
      <c r="H121" s="65">
        <v>0</v>
      </c>
      <c r="I121" s="66">
        <v>0</v>
      </c>
      <c r="J121" s="67">
        <v>0</v>
      </c>
      <c r="K121" s="68">
        <v>0</v>
      </c>
      <c r="L121" s="69">
        <v>0</v>
      </c>
      <c r="M121" s="70">
        <v>0</v>
      </c>
      <c r="N121" s="71">
        <v>0</v>
      </c>
      <c r="O121" s="72">
        <v>0</v>
      </c>
      <c r="P121" s="73">
        <v>0</v>
      </c>
      <c r="Q121" s="74">
        <v>0</v>
      </c>
      <c r="R121" s="75">
        <v>0</v>
      </c>
      <c r="S121" s="76">
        <v>0</v>
      </c>
      <c r="T121" s="77">
        <v>0</v>
      </c>
      <c r="U121" s="78">
        <v>0</v>
      </c>
      <c r="V121" s="79">
        <v>388</v>
      </c>
      <c r="W121" s="39">
        <v>6.8561918253776897</v>
      </c>
      <c r="X121" s="39">
        <v>79.863371671162199</v>
      </c>
    </row>
    <row r="122" spans="1:24" x14ac:dyDescent="0.3">
      <c r="A122" s="58" t="s">
        <v>224</v>
      </c>
      <c r="B122" s="59">
        <v>216</v>
      </c>
      <c r="C122" s="60">
        <v>95.58</v>
      </c>
      <c r="D122" s="61">
        <v>7</v>
      </c>
      <c r="E122" s="62">
        <v>3.1</v>
      </c>
      <c r="F122" s="63">
        <v>3</v>
      </c>
      <c r="G122" s="64">
        <v>1.33</v>
      </c>
      <c r="H122" s="65">
        <v>0</v>
      </c>
      <c r="I122" s="66">
        <v>0</v>
      </c>
      <c r="J122" s="67">
        <v>0</v>
      </c>
      <c r="K122" s="68">
        <v>0</v>
      </c>
      <c r="L122" s="69">
        <v>0</v>
      </c>
      <c r="M122" s="70">
        <v>0</v>
      </c>
      <c r="N122" s="71">
        <v>0</v>
      </c>
      <c r="O122" s="72">
        <v>0</v>
      </c>
      <c r="P122" s="73">
        <v>0</v>
      </c>
      <c r="Q122" s="74">
        <v>0</v>
      </c>
      <c r="R122" s="75">
        <v>0</v>
      </c>
      <c r="S122" s="76">
        <v>0</v>
      </c>
      <c r="T122" s="77">
        <v>0</v>
      </c>
      <c r="U122" s="78">
        <v>0</v>
      </c>
      <c r="V122" s="79">
        <v>226</v>
      </c>
      <c r="W122" s="39">
        <v>6.8561918253776897</v>
      </c>
      <c r="X122" s="39">
        <v>79.863371671162199</v>
      </c>
    </row>
    <row r="123" spans="1:24" x14ac:dyDescent="0.3">
      <c r="A123" s="58" t="s">
        <v>75</v>
      </c>
      <c r="B123" s="59">
        <v>16</v>
      </c>
      <c r="C123" s="60">
        <v>100</v>
      </c>
      <c r="D123" s="61">
        <v>0</v>
      </c>
      <c r="E123" s="62">
        <v>0</v>
      </c>
      <c r="F123" s="63">
        <v>0</v>
      </c>
      <c r="G123" s="64">
        <v>0</v>
      </c>
      <c r="H123" s="65">
        <v>0</v>
      </c>
      <c r="I123" s="66">
        <v>0</v>
      </c>
      <c r="J123" s="67">
        <v>0</v>
      </c>
      <c r="K123" s="68">
        <v>0</v>
      </c>
      <c r="L123" s="69">
        <v>0</v>
      </c>
      <c r="M123" s="70">
        <v>0</v>
      </c>
      <c r="N123" s="71">
        <v>0</v>
      </c>
      <c r="O123" s="72">
        <v>0</v>
      </c>
      <c r="P123" s="73">
        <v>0</v>
      </c>
      <c r="Q123" s="74">
        <v>0</v>
      </c>
      <c r="R123" s="75">
        <v>0</v>
      </c>
      <c r="S123" s="76">
        <v>0</v>
      </c>
      <c r="T123" s="77">
        <v>0</v>
      </c>
      <c r="U123" s="78">
        <v>0</v>
      </c>
      <c r="V123" s="79">
        <v>16</v>
      </c>
      <c r="W123" s="39">
        <v>6.8308620571511396</v>
      </c>
      <c r="X123" s="39">
        <v>79.865122202031102</v>
      </c>
    </row>
    <row r="124" spans="1:24" x14ac:dyDescent="0.3">
      <c r="A124" s="58" t="s">
        <v>76</v>
      </c>
      <c r="B124" s="59">
        <v>17</v>
      </c>
      <c r="C124" s="60">
        <v>100</v>
      </c>
      <c r="D124" s="61">
        <v>0</v>
      </c>
      <c r="E124" s="62">
        <v>0</v>
      </c>
      <c r="F124" s="63">
        <v>0</v>
      </c>
      <c r="G124" s="64">
        <v>0</v>
      </c>
      <c r="H124" s="65">
        <v>0</v>
      </c>
      <c r="I124" s="66">
        <v>0</v>
      </c>
      <c r="J124" s="67">
        <v>0</v>
      </c>
      <c r="K124" s="68">
        <v>0</v>
      </c>
      <c r="L124" s="69">
        <v>0</v>
      </c>
      <c r="M124" s="70">
        <v>0</v>
      </c>
      <c r="N124" s="71">
        <v>0</v>
      </c>
      <c r="O124" s="72">
        <v>0</v>
      </c>
      <c r="P124" s="73">
        <v>0</v>
      </c>
      <c r="Q124" s="74">
        <v>0</v>
      </c>
      <c r="R124" s="75">
        <v>0</v>
      </c>
      <c r="S124" s="76">
        <v>0</v>
      </c>
      <c r="T124" s="77">
        <v>0</v>
      </c>
      <c r="U124" s="78">
        <v>0</v>
      </c>
      <c r="V124" s="79">
        <v>17</v>
      </c>
      <c r="W124" s="39">
        <v>6.8308620571511396</v>
      </c>
      <c r="X124" s="39">
        <v>79.865122202031102</v>
      </c>
    </row>
    <row r="125" spans="1:24" x14ac:dyDescent="0.3">
      <c r="A125" s="58" t="s">
        <v>225</v>
      </c>
      <c r="B125" s="59">
        <v>16</v>
      </c>
      <c r="C125" s="60">
        <v>84.21</v>
      </c>
      <c r="D125" s="61">
        <v>1</v>
      </c>
      <c r="E125" s="62">
        <v>5.26</v>
      </c>
      <c r="F125" s="63">
        <v>2</v>
      </c>
      <c r="G125" s="64">
        <v>10.53</v>
      </c>
      <c r="H125" s="65">
        <v>0</v>
      </c>
      <c r="I125" s="66">
        <v>0</v>
      </c>
      <c r="J125" s="67">
        <v>0</v>
      </c>
      <c r="K125" s="68">
        <v>0</v>
      </c>
      <c r="L125" s="69">
        <v>0</v>
      </c>
      <c r="M125" s="70">
        <v>0</v>
      </c>
      <c r="N125" s="71">
        <v>0</v>
      </c>
      <c r="O125" s="72">
        <v>0</v>
      </c>
      <c r="P125" s="73">
        <v>0</v>
      </c>
      <c r="Q125" s="74">
        <v>0</v>
      </c>
      <c r="R125" s="75">
        <v>0</v>
      </c>
      <c r="S125" s="76">
        <v>0</v>
      </c>
      <c r="T125" s="77">
        <v>0</v>
      </c>
      <c r="U125" s="78">
        <v>0</v>
      </c>
      <c r="V125" s="79">
        <v>19</v>
      </c>
      <c r="W125" s="39">
        <v>6.8568480408922703</v>
      </c>
      <c r="X125" s="39">
        <v>79.868086449431004</v>
      </c>
    </row>
    <row r="126" spans="1:24" x14ac:dyDescent="0.3">
      <c r="A126" s="58" t="s">
        <v>226</v>
      </c>
      <c r="B126" s="59">
        <v>52</v>
      </c>
      <c r="C126" s="60">
        <v>74.290000000000006</v>
      </c>
      <c r="D126" s="61">
        <v>2</v>
      </c>
      <c r="E126" s="62">
        <v>2.86</v>
      </c>
      <c r="F126" s="63">
        <v>15</v>
      </c>
      <c r="G126" s="64">
        <v>21.43</v>
      </c>
      <c r="H126" s="65">
        <v>0</v>
      </c>
      <c r="I126" s="66">
        <v>0</v>
      </c>
      <c r="J126" s="67">
        <v>0</v>
      </c>
      <c r="K126" s="68">
        <v>0</v>
      </c>
      <c r="L126" s="69">
        <v>0</v>
      </c>
      <c r="M126" s="70">
        <v>0</v>
      </c>
      <c r="N126" s="71">
        <v>0</v>
      </c>
      <c r="O126" s="72">
        <v>0</v>
      </c>
      <c r="P126" s="73">
        <v>0</v>
      </c>
      <c r="Q126" s="74">
        <v>0</v>
      </c>
      <c r="R126" s="75">
        <v>0</v>
      </c>
      <c r="S126" s="76">
        <v>0</v>
      </c>
      <c r="T126" s="77">
        <v>1</v>
      </c>
      <c r="U126" s="78">
        <v>1.43</v>
      </c>
      <c r="V126" s="79">
        <v>70</v>
      </c>
      <c r="W126" s="39">
        <v>6.8568480408922703</v>
      </c>
      <c r="X126" s="39">
        <v>79.868086449431004</v>
      </c>
    </row>
    <row r="127" spans="1:24" x14ac:dyDescent="0.3">
      <c r="A127" s="58" t="s">
        <v>227</v>
      </c>
      <c r="B127" s="59">
        <v>13</v>
      </c>
      <c r="C127" s="60">
        <v>76.47</v>
      </c>
      <c r="D127" s="61">
        <v>1</v>
      </c>
      <c r="E127" s="62">
        <v>5.88</v>
      </c>
      <c r="F127" s="63">
        <v>3</v>
      </c>
      <c r="G127" s="64">
        <v>17.649999999999999</v>
      </c>
      <c r="H127" s="65">
        <v>0</v>
      </c>
      <c r="I127" s="66">
        <v>0</v>
      </c>
      <c r="J127" s="67">
        <v>0</v>
      </c>
      <c r="K127" s="68">
        <v>0</v>
      </c>
      <c r="L127" s="69">
        <v>0</v>
      </c>
      <c r="M127" s="70">
        <v>0</v>
      </c>
      <c r="N127" s="71">
        <v>0</v>
      </c>
      <c r="O127" s="72">
        <v>0</v>
      </c>
      <c r="P127" s="73">
        <v>0</v>
      </c>
      <c r="Q127" s="74">
        <v>0</v>
      </c>
      <c r="R127" s="75">
        <v>0</v>
      </c>
      <c r="S127" s="76">
        <v>0</v>
      </c>
      <c r="T127" s="77">
        <v>0</v>
      </c>
      <c r="U127" s="78">
        <v>0</v>
      </c>
      <c r="V127" s="79">
        <v>17</v>
      </c>
      <c r="W127" s="39">
        <v>6.85645386874452</v>
      </c>
      <c r="X127" s="39">
        <v>79.866245385515498</v>
      </c>
    </row>
    <row r="128" spans="1:24" x14ac:dyDescent="0.3">
      <c r="A128" s="58" t="s">
        <v>228</v>
      </c>
      <c r="B128" s="59">
        <v>3</v>
      </c>
      <c r="C128" s="60">
        <v>60</v>
      </c>
      <c r="D128" s="61">
        <v>1</v>
      </c>
      <c r="E128" s="62">
        <v>20</v>
      </c>
      <c r="F128" s="63">
        <v>0</v>
      </c>
      <c r="G128" s="64">
        <v>0</v>
      </c>
      <c r="H128" s="65">
        <v>0</v>
      </c>
      <c r="I128" s="66">
        <v>0</v>
      </c>
      <c r="J128" s="67">
        <v>0</v>
      </c>
      <c r="K128" s="68">
        <v>0</v>
      </c>
      <c r="L128" s="69">
        <v>0</v>
      </c>
      <c r="M128" s="70">
        <v>0</v>
      </c>
      <c r="N128" s="71">
        <v>0</v>
      </c>
      <c r="O128" s="72">
        <v>0</v>
      </c>
      <c r="P128" s="73">
        <v>0</v>
      </c>
      <c r="Q128" s="74">
        <v>0</v>
      </c>
      <c r="R128" s="75">
        <v>0</v>
      </c>
      <c r="S128" s="76">
        <v>0</v>
      </c>
      <c r="T128" s="77">
        <v>1</v>
      </c>
      <c r="U128" s="78">
        <v>20</v>
      </c>
      <c r="V128" s="79">
        <v>5</v>
      </c>
      <c r="W128" s="39">
        <v>6.85645386874452</v>
      </c>
      <c r="X128" s="39">
        <v>79.866245385515498</v>
      </c>
    </row>
    <row r="129" spans="1:24" x14ac:dyDescent="0.3">
      <c r="A129" s="58" t="s">
        <v>229</v>
      </c>
      <c r="B129" s="59">
        <v>20</v>
      </c>
      <c r="C129" s="60">
        <v>80</v>
      </c>
      <c r="D129" s="61">
        <v>1</v>
      </c>
      <c r="E129" s="62">
        <v>4</v>
      </c>
      <c r="F129" s="63">
        <v>4</v>
      </c>
      <c r="G129" s="64">
        <v>16</v>
      </c>
      <c r="H129" s="65">
        <v>0</v>
      </c>
      <c r="I129" s="66">
        <v>0</v>
      </c>
      <c r="J129" s="67">
        <v>0</v>
      </c>
      <c r="K129" s="68">
        <v>0</v>
      </c>
      <c r="L129" s="69">
        <v>0</v>
      </c>
      <c r="M129" s="70">
        <v>0</v>
      </c>
      <c r="N129" s="71">
        <v>0</v>
      </c>
      <c r="O129" s="72">
        <v>0</v>
      </c>
      <c r="P129" s="73">
        <v>0</v>
      </c>
      <c r="Q129" s="74">
        <v>0</v>
      </c>
      <c r="R129" s="75">
        <v>0</v>
      </c>
      <c r="S129" s="76">
        <v>0</v>
      </c>
      <c r="T129" s="77">
        <v>0</v>
      </c>
      <c r="U129" s="78">
        <v>0</v>
      </c>
      <c r="V129" s="79">
        <v>25</v>
      </c>
      <c r="W129" s="39">
        <v>6.8559599197854997</v>
      </c>
      <c r="X129" s="39">
        <v>79.869888123460896</v>
      </c>
    </row>
    <row r="130" spans="1:24" x14ac:dyDescent="0.3">
      <c r="A130" s="58" t="s">
        <v>230</v>
      </c>
      <c r="B130" s="59">
        <v>54</v>
      </c>
      <c r="C130" s="60">
        <v>94.74</v>
      </c>
      <c r="D130" s="61">
        <v>2</v>
      </c>
      <c r="E130" s="62">
        <v>3.51</v>
      </c>
      <c r="F130" s="63">
        <v>1</v>
      </c>
      <c r="G130" s="64">
        <v>1.75</v>
      </c>
      <c r="H130" s="65">
        <v>0</v>
      </c>
      <c r="I130" s="66">
        <v>0</v>
      </c>
      <c r="J130" s="67">
        <v>0</v>
      </c>
      <c r="K130" s="68">
        <v>0</v>
      </c>
      <c r="L130" s="69">
        <v>0</v>
      </c>
      <c r="M130" s="70">
        <v>0</v>
      </c>
      <c r="N130" s="71">
        <v>0</v>
      </c>
      <c r="O130" s="72">
        <v>0</v>
      </c>
      <c r="P130" s="73">
        <v>0</v>
      </c>
      <c r="Q130" s="74">
        <v>0</v>
      </c>
      <c r="R130" s="75">
        <v>0</v>
      </c>
      <c r="S130" s="76">
        <v>0</v>
      </c>
      <c r="T130" s="77">
        <v>0</v>
      </c>
      <c r="U130" s="78">
        <v>0</v>
      </c>
      <c r="V130" s="79">
        <v>57</v>
      </c>
      <c r="W130" s="39">
        <v>6.8559599197854997</v>
      </c>
      <c r="X130" s="39">
        <v>79.869888123460896</v>
      </c>
    </row>
    <row r="131" spans="1:24" x14ac:dyDescent="0.3">
      <c r="A131" s="58" t="s">
        <v>231</v>
      </c>
      <c r="B131" s="59">
        <v>488</v>
      </c>
      <c r="C131" s="60">
        <v>90.71</v>
      </c>
      <c r="D131" s="61">
        <v>14</v>
      </c>
      <c r="E131" s="62">
        <v>2.6</v>
      </c>
      <c r="F131" s="63">
        <v>27</v>
      </c>
      <c r="G131" s="64">
        <v>5.0199999999999996</v>
      </c>
      <c r="H131" s="65">
        <v>0</v>
      </c>
      <c r="I131" s="66">
        <v>0</v>
      </c>
      <c r="J131" s="67">
        <v>0</v>
      </c>
      <c r="K131" s="68">
        <v>0</v>
      </c>
      <c r="L131" s="69">
        <v>0</v>
      </c>
      <c r="M131" s="70">
        <v>0</v>
      </c>
      <c r="N131" s="71">
        <v>0</v>
      </c>
      <c r="O131" s="72">
        <v>0</v>
      </c>
      <c r="P131" s="73">
        <v>0</v>
      </c>
      <c r="Q131" s="74">
        <v>0</v>
      </c>
      <c r="R131" s="75">
        <v>4</v>
      </c>
      <c r="S131" s="76">
        <v>0.74</v>
      </c>
      <c r="T131" s="77">
        <v>5</v>
      </c>
      <c r="U131" s="78">
        <v>0.93</v>
      </c>
      <c r="V131" s="79">
        <v>538</v>
      </c>
      <c r="W131" s="39">
        <v>6.8559599197854997</v>
      </c>
      <c r="X131" s="39">
        <v>79.869888123460896</v>
      </c>
    </row>
    <row r="132" spans="1:24" x14ac:dyDescent="0.3">
      <c r="A132" s="58" t="s">
        <v>232</v>
      </c>
      <c r="B132" s="59">
        <v>270</v>
      </c>
      <c r="C132" s="60">
        <v>87.1</v>
      </c>
      <c r="D132" s="61">
        <v>19</v>
      </c>
      <c r="E132" s="62">
        <v>6.13</v>
      </c>
      <c r="F132" s="63">
        <v>21</v>
      </c>
      <c r="G132" s="64">
        <v>6.77</v>
      </c>
      <c r="H132" s="65">
        <v>0</v>
      </c>
      <c r="I132" s="66">
        <v>0</v>
      </c>
      <c r="J132" s="67">
        <v>0</v>
      </c>
      <c r="K132" s="68">
        <v>0</v>
      </c>
      <c r="L132" s="69">
        <v>0</v>
      </c>
      <c r="M132" s="70">
        <v>0</v>
      </c>
      <c r="N132" s="71">
        <v>0</v>
      </c>
      <c r="O132" s="72">
        <v>0</v>
      </c>
      <c r="P132" s="73">
        <v>0</v>
      </c>
      <c r="Q132" s="74">
        <v>0</v>
      </c>
      <c r="R132" s="75">
        <v>0</v>
      </c>
      <c r="S132" s="76">
        <v>0</v>
      </c>
      <c r="T132" s="77">
        <v>0</v>
      </c>
      <c r="U132" s="78">
        <v>0</v>
      </c>
      <c r="V132" s="79">
        <v>310</v>
      </c>
      <c r="W132" s="39">
        <v>6.8559599197854997</v>
      </c>
      <c r="X132" s="39">
        <v>79.869888123460896</v>
      </c>
    </row>
    <row r="133" spans="1:24" x14ac:dyDescent="0.3">
      <c r="A133" s="58" t="s">
        <v>233</v>
      </c>
      <c r="B133" s="59">
        <v>29</v>
      </c>
      <c r="C133" s="60">
        <v>64.44</v>
      </c>
      <c r="D133" s="61">
        <v>6</v>
      </c>
      <c r="E133" s="62">
        <v>13.33</v>
      </c>
      <c r="F133" s="63">
        <v>9</v>
      </c>
      <c r="G133" s="64">
        <v>20</v>
      </c>
      <c r="H133" s="65">
        <v>0</v>
      </c>
      <c r="I133" s="66">
        <v>0</v>
      </c>
      <c r="J133" s="67">
        <v>0</v>
      </c>
      <c r="K133" s="68">
        <v>0</v>
      </c>
      <c r="L133" s="69">
        <v>0</v>
      </c>
      <c r="M133" s="70">
        <v>0</v>
      </c>
      <c r="N133" s="71">
        <v>0</v>
      </c>
      <c r="O133" s="72">
        <v>0</v>
      </c>
      <c r="P133" s="73">
        <v>0</v>
      </c>
      <c r="Q133" s="74">
        <v>0</v>
      </c>
      <c r="R133" s="75">
        <v>1</v>
      </c>
      <c r="S133" s="76">
        <v>2.2200000000000002</v>
      </c>
      <c r="T133" s="77">
        <v>0</v>
      </c>
      <c r="U133" s="78">
        <v>0</v>
      </c>
      <c r="V133" s="79">
        <v>45</v>
      </c>
      <c r="W133" s="39">
        <v>6.86231741080306</v>
      </c>
      <c r="X133" s="39">
        <v>79.861982038151893</v>
      </c>
    </row>
    <row r="134" spans="1:24" x14ac:dyDescent="0.3">
      <c r="A134" s="58" t="s">
        <v>234</v>
      </c>
      <c r="B134" s="59">
        <v>5</v>
      </c>
      <c r="C134" s="60">
        <v>55.56</v>
      </c>
      <c r="D134" s="61">
        <v>1</v>
      </c>
      <c r="E134" s="62">
        <v>11.11</v>
      </c>
      <c r="F134" s="63">
        <v>3</v>
      </c>
      <c r="G134" s="64">
        <v>33.33</v>
      </c>
      <c r="H134" s="65">
        <v>0</v>
      </c>
      <c r="I134" s="66">
        <v>0</v>
      </c>
      <c r="J134" s="67">
        <v>0</v>
      </c>
      <c r="K134" s="68">
        <v>0</v>
      </c>
      <c r="L134" s="69">
        <v>0</v>
      </c>
      <c r="M134" s="70">
        <v>0</v>
      </c>
      <c r="N134" s="71">
        <v>0</v>
      </c>
      <c r="O134" s="72">
        <v>0</v>
      </c>
      <c r="P134" s="73">
        <v>0</v>
      </c>
      <c r="Q134" s="74">
        <v>0</v>
      </c>
      <c r="R134" s="75">
        <v>0</v>
      </c>
      <c r="S134" s="76">
        <v>0</v>
      </c>
      <c r="T134" s="77">
        <v>0</v>
      </c>
      <c r="U134" s="78">
        <v>0</v>
      </c>
      <c r="V134" s="79">
        <v>9</v>
      </c>
      <c r="W134" s="39">
        <v>6.86231741080306</v>
      </c>
      <c r="X134" s="39">
        <v>79.861982038151893</v>
      </c>
    </row>
    <row r="135" spans="1:24" x14ac:dyDescent="0.3">
      <c r="A135" s="58" t="s">
        <v>95</v>
      </c>
      <c r="B135" s="59">
        <v>59</v>
      </c>
      <c r="C135" s="60">
        <v>80.819999999999993</v>
      </c>
      <c r="D135" s="61">
        <v>3</v>
      </c>
      <c r="E135" s="62">
        <v>4.1100000000000003</v>
      </c>
      <c r="F135" s="63">
        <v>11</v>
      </c>
      <c r="G135" s="64">
        <v>15.07</v>
      </c>
      <c r="H135" s="65">
        <v>0</v>
      </c>
      <c r="I135" s="66">
        <v>0</v>
      </c>
      <c r="J135" s="67">
        <v>0</v>
      </c>
      <c r="K135" s="68">
        <v>0</v>
      </c>
      <c r="L135" s="69">
        <v>0</v>
      </c>
      <c r="M135" s="70">
        <v>0</v>
      </c>
      <c r="N135" s="71">
        <v>0</v>
      </c>
      <c r="O135" s="72">
        <v>0</v>
      </c>
      <c r="P135" s="73">
        <v>0</v>
      </c>
      <c r="Q135" s="74">
        <v>0</v>
      </c>
      <c r="R135" s="75">
        <v>0</v>
      </c>
      <c r="S135" s="76">
        <v>0</v>
      </c>
      <c r="T135" s="77">
        <v>0</v>
      </c>
      <c r="U135" s="78">
        <v>0</v>
      </c>
      <c r="V135" s="79">
        <v>73</v>
      </c>
      <c r="W135" s="39">
        <v>6.8388395147012302</v>
      </c>
      <c r="X135" s="39">
        <v>79.870325751903906</v>
      </c>
    </row>
    <row r="136" spans="1:24" x14ac:dyDescent="0.3">
      <c r="A136" s="58" t="s">
        <v>235</v>
      </c>
      <c r="B136" s="59">
        <v>344</v>
      </c>
      <c r="C136" s="60">
        <v>89.12</v>
      </c>
      <c r="D136" s="61">
        <v>14</v>
      </c>
      <c r="E136" s="62">
        <v>3.63</v>
      </c>
      <c r="F136" s="63">
        <v>23</v>
      </c>
      <c r="G136" s="64">
        <v>5.96</v>
      </c>
      <c r="H136" s="65">
        <v>0</v>
      </c>
      <c r="I136" s="66">
        <v>0</v>
      </c>
      <c r="J136" s="67">
        <v>0</v>
      </c>
      <c r="K136" s="68">
        <v>0</v>
      </c>
      <c r="L136" s="69">
        <v>0</v>
      </c>
      <c r="M136" s="70">
        <v>0</v>
      </c>
      <c r="N136" s="71">
        <v>0</v>
      </c>
      <c r="O136" s="72">
        <v>0</v>
      </c>
      <c r="P136" s="73">
        <v>0</v>
      </c>
      <c r="Q136" s="74">
        <v>0</v>
      </c>
      <c r="R136" s="75">
        <v>5</v>
      </c>
      <c r="S136" s="76">
        <v>1.3</v>
      </c>
      <c r="T136" s="77">
        <v>0</v>
      </c>
      <c r="U136" s="78">
        <v>0</v>
      </c>
      <c r="V136" s="79">
        <v>386</v>
      </c>
      <c r="W136" s="39">
        <v>6.8388395147012302</v>
      </c>
      <c r="X136" s="39">
        <v>79.870325751903906</v>
      </c>
    </row>
    <row r="137" spans="1:24" x14ac:dyDescent="0.3">
      <c r="A137" s="58" t="s">
        <v>236</v>
      </c>
      <c r="B137" s="59">
        <v>318</v>
      </c>
      <c r="C137" s="60">
        <v>86.89</v>
      </c>
      <c r="D137" s="61">
        <v>9</v>
      </c>
      <c r="E137" s="62">
        <v>2.46</v>
      </c>
      <c r="F137" s="63">
        <v>22</v>
      </c>
      <c r="G137" s="64">
        <v>6.01</v>
      </c>
      <c r="H137" s="65">
        <v>0</v>
      </c>
      <c r="I137" s="66">
        <v>0</v>
      </c>
      <c r="J137" s="67">
        <v>0</v>
      </c>
      <c r="K137" s="68">
        <v>0</v>
      </c>
      <c r="L137" s="69">
        <v>0</v>
      </c>
      <c r="M137" s="70">
        <v>0</v>
      </c>
      <c r="N137" s="71">
        <v>0</v>
      </c>
      <c r="O137" s="72">
        <v>0</v>
      </c>
      <c r="P137" s="73">
        <v>0</v>
      </c>
      <c r="Q137" s="74">
        <v>0</v>
      </c>
      <c r="R137" s="75">
        <v>17</v>
      </c>
      <c r="S137" s="76">
        <v>4.6399999999999997</v>
      </c>
      <c r="T137" s="77">
        <v>0</v>
      </c>
      <c r="U137" s="78">
        <v>0</v>
      </c>
      <c r="V137" s="79">
        <v>366</v>
      </c>
      <c r="W137" s="39">
        <v>6.8388395147012302</v>
      </c>
      <c r="X137" s="39">
        <v>79.870325751903906</v>
      </c>
    </row>
    <row r="138" spans="1:24" x14ac:dyDescent="0.3">
      <c r="A138" s="58" t="s">
        <v>97</v>
      </c>
      <c r="B138" s="59">
        <v>72</v>
      </c>
      <c r="C138" s="60">
        <v>80</v>
      </c>
      <c r="D138" s="61">
        <v>6</v>
      </c>
      <c r="E138" s="62">
        <v>6.67</v>
      </c>
      <c r="F138" s="63">
        <v>12</v>
      </c>
      <c r="G138" s="64">
        <v>13.33</v>
      </c>
      <c r="H138" s="65">
        <v>0</v>
      </c>
      <c r="I138" s="66">
        <v>0</v>
      </c>
      <c r="J138" s="67">
        <v>0</v>
      </c>
      <c r="K138" s="68">
        <v>0</v>
      </c>
      <c r="L138" s="69">
        <v>0</v>
      </c>
      <c r="M138" s="70">
        <v>0</v>
      </c>
      <c r="N138" s="71">
        <v>0</v>
      </c>
      <c r="O138" s="72">
        <v>0</v>
      </c>
      <c r="P138" s="73">
        <v>0</v>
      </c>
      <c r="Q138" s="74">
        <v>0</v>
      </c>
      <c r="R138" s="75">
        <v>0</v>
      </c>
      <c r="S138" s="76">
        <v>0</v>
      </c>
      <c r="T138" s="77">
        <v>0</v>
      </c>
      <c r="U138" s="78">
        <v>0</v>
      </c>
      <c r="V138" s="79">
        <v>90</v>
      </c>
      <c r="W138" s="39">
        <v>6.82182365603345</v>
      </c>
      <c r="X138" s="39">
        <v>79.865066614547899</v>
      </c>
    </row>
    <row r="139" spans="1:24" x14ac:dyDescent="0.3">
      <c r="A139" s="58" t="s">
        <v>237</v>
      </c>
      <c r="B139" s="59">
        <v>159</v>
      </c>
      <c r="C139" s="60">
        <v>66.81</v>
      </c>
      <c r="D139" s="61">
        <v>7</v>
      </c>
      <c r="E139" s="62">
        <v>2.94</v>
      </c>
      <c r="F139" s="63">
        <v>16</v>
      </c>
      <c r="G139" s="64">
        <v>6.72</v>
      </c>
      <c r="H139" s="65">
        <v>54</v>
      </c>
      <c r="I139" s="66">
        <v>22.69</v>
      </c>
      <c r="J139" s="67">
        <v>0</v>
      </c>
      <c r="K139" s="68">
        <v>0</v>
      </c>
      <c r="L139" s="69">
        <v>0</v>
      </c>
      <c r="M139" s="70">
        <v>0</v>
      </c>
      <c r="N139" s="71">
        <v>0</v>
      </c>
      <c r="O139" s="72">
        <v>0</v>
      </c>
      <c r="P139" s="73">
        <v>0</v>
      </c>
      <c r="Q139" s="74">
        <v>0</v>
      </c>
      <c r="R139" s="75">
        <v>0</v>
      </c>
      <c r="S139" s="76">
        <v>0</v>
      </c>
      <c r="T139" s="77">
        <v>2</v>
      </c>
      <c r="U139" s="78">
        <v>0.84</v>
      </c>
      <c r="V139" s="79">
        <v>238</v>
      </c>
      <c r="W139" s="39">
        <v>6.82182365603345</v>
      </c>
      <c r="X139" s="39">
        <v>79.865066614547899</v>
      </c>
    </row>
    <row r="140" spans="1:24" x14ac:dyDescent="0.3">
      <c r="A140" s="58" t="s">
        <v>238</v>
      </c>
      <c r="B140" s="59">
        <v>113</v>
      </c>
      <c r="C140" s="60">
        <v>86.26</v>
      </c>
      <c r="D140" s="61">
        <v>8</v>
      </c>
      <c r="E140" s="62">
        <v>6.11</v>
      </c>
      <c r="F140" s="63">
        <v>10</v>
      </c>
      <c r="G140" s="64">
        <v>7.63</v>
      </c>
      <c r="H140" s="65">
        <v>0</v>
      </c>
      <c r="I140" s="66">
        <v>0</v>
      </c>
      <c r="J140" s="67">
        <v>0</v>
      </c>
      <c r="K140" s="68">
        <v>0</v>
      </c>
      <c r="L140" s="69">
        <v>0</v>
      </c>
      <c r="M140" s="70">
        <v>0</v>
      </c>
      <c r="N140" s="71">
        <v>0</v>
      </c>
      <c r="O140" s="72">
        <v>0</v>
      </c>
      <c r="P140" s="73">
        <v>0</v>
      </c>
      <c r="Q140" s="74">
        <v>0</v>
      </c>
      <c r="R140" s="75">
        <v>0</v>
      </c>
      <c r="S140" s="76">
        <v>0</v>
      </c>
      <c r="T140" s="77">
        <v>0</v>
      </c>
      <c r="U140" s="78">
        <v>0</v>
      </c>
      <c r="V140" s="79">
        <v>131</v>
      </c>
      <c r="W140" s="39">
        <v>6.8532865697498098</v>
      </c>
      <c r="X140" s="39">
        <v>79.864273708622704</v>
      </c>
    </row>
    <row r="141" spans="1:24" x14ac:dyDescent="0.3">
      <c r="A141" s="58" t="s">
        <v>82</v>
      </c>
      <c r="B141" s="59">
        <v>118</v>
      </c>
      <c r="C141" s="60">
        <v>94.4</v>
      </c>
      <c r="D141" s="61">
        <v>5</v>
      </c>
      <c r="E141" s="62">
        <v>4</v>
      </c>
      <c r="F141" s="63">
        <v>2</v>
      </c>
      <c r="G141" s="64">
        <v>1.6</v>
      </c>
      <c r="H141" s="65">
        <v>0</v>
      </c>
      <c r="I141" s="66">
        <v>0</v>
      </c>
      <c r="J141" s="67">
        <v>0</v>
      </c>
      <c r="K141" s="68">
        <v>0</v>
      </c>
      <c r="L141" s="69">
        <v>0</v>
      </c>
      <c r="M141" s="70">
        <v>0</v>
      </c>
      <c r="N141" s="71">
        <v>0</v>
      </c>
      <c r="O141" s="72">
        <v>0</v>
      </c>
      <c r="P141" s="73">
        <v>0</v>
      </c>
      <c r="Q141" s="74">
        <v>0</v>
      </c>
      <c r="R141" s="75">
        <v>0</v>
      </c>
      <c r="S141" s="76">
        <v>0</v>
      </c>
      <c r="T141" s="77">
        <v>0</v>
      </c>
      <c r="U141" s="78">
        <v>0</v>
      </c>
      <c r="V141" s="79">
        <v>125</v>
      </c>
      <c r="W141" s="39">
        <v>6.8532865697498098</v>
      </c>
      <c r="X141" s="39">
        <v>79.864273708622704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Population </vt:lpstr>
      <vt:lpstr>Housing </vt:lpstr>
      <vt:lpstr>KPI</vt:lpstr>
      <vt:lpstr>land use</vt:lpstr>
      <vt:lpstr>Property </vt:lpstr>
      <vt:lpstr>Roadwise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chalani kulasekara</dc:creator>
  <cp:lastModifiedBy>Thanuja Senarathne</cp:lastModifiedBy>
  <dcterms:created xsi:type="dcterms:W3CDTF">2026-07-04T04:08:15Z</dcterms:created>
  <dcterms:modified xsi:type="dcterms:W3CDTF">2026-07-12T18:18:54Z</dcterms:modified>
</cp:coreProperties>
</file>